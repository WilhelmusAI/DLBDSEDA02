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123wi\OneDrive\Desktop\duits uni\data analysis\Data Analysis Results\"/>
    </mc:Choice>
  </mc:AlternateContent>
  <xr:revisionPtr revIDLastSave="0" documentId="8_{5AC22800-8378-44E7-86D7-84C0E25B8D04}" xr6:coauthVersionLast="47" xr6:coauthVersionMax="47" xr10:uidLastSave="{00000000-0000-0000-0000-000000000000}"/>
  <bookViews>
    <workbookView xWindow="-110" yWindow="-110" windowWidth="25820" windowHeight="15500" xr2:uid="{00000000-000D-0000-FFFF-FFFF00000000}"/>
  </bookViews>
  <sheets>
    <sheet name="Summary" sheetId="1" r:id="rId1"/>
    <sheet name="Review" sheetId="2" r:id="rId2"/>
    <sheet name="Topics" sheetId="3" r:id="rId3"/>
    <sheet name="Complaint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3" l="1"/>
  <c r="H52" i="3"/>
  <c r="G52" i="3"/>
  <c r="F52"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B18" i="1"/>
  <c r="B17" i="1"/>
  <c r="B16" i="1"/>
  <c r="B15" i="1"/>
  <c r="B14" i="1"/>
  <c r="B13" i="1"/>
  <c r="E8" i="1"/>
  <c r="D8" i="1"/>
  <c r="C8" i="1"/>
  <c r="B8" i="1"/>
  <c r="E7" i="1"/>
  <c r="D7" i="1"/>
  <c r="C7" i="1"/>
  <c r="B7" i="1"/>
  <c r="E6" i="1"/>
  <c r="D6" i="1"/>
  <c r="C6" i="1"/>
  <c r="B6" i="1"/>
  <c r="E5" i="1"/>
  <c r="D5" i="1"/>
  <c r="C5" i="1"/>
  <c r="B5" i="1"/>
  <c r="C9" i="1" l="1"/>
  <c r="D9" i="1"/>
  <c r="B9" i="1"/>
  <c r="E9" i="1"/>
</calcChain>
</file>

<file path=xl/sharedStrings.xml><?xml version="1.0" encoding="utf-8"?>
<sst xmlns="http://schemas.openxmlformats.org/spreadsheetml/2006/main" count="2282" uniqueCount="928">
  <si>
    <t>Topic assignment review</t>
  </si>
  <si>
    <t>Scope: 135 selected model–complaint pairs, covering 118 complaint IDs. The model log reports 1,200,000 training rows and 1,000 evaluated rows per model.</t>
  </si>
  <si>
    <t>Model</t>
  </si>
  <si>
    <t>Reviewed</t>
  </si>
  <si>
    <t>Yes</t>
  </si>
  <si>
    <t>No</t>
  </si>
  <si>
    <t>Unclear</t>
  </si>
  <si>
    <t>Yes = a reasonable fit to the main issue or a clearly matching template.</t>
  </si>
  <si>
    <t>LSA</t>
  </si>
  <si>
    <t>LDA</t>
  </si>
  <si>
    <t>No = only a partial match; the main issue is missed.</t>
  </si>
  <si>
    <t>BERTopic</t>
  </si>
  <si>
    <t>NMF</t>
  </si>
  <si>
    <t>Unclear = too little complaint detail or an unclear topic.</t>
  </si>
  <si>
    <t>Total</t>
  </si>
  <si>
    <t>What the judgements mean</t>
  </si>
  <si>
    <t>Assessment</t>
  </si>
  <si>
    <t>Count</t>
  </si>
  <si>
    <t>Fit?</t>
  </si>
  <si>
    <t>Rule used in this review</t>
  </si>
  <si>
    <t>Clear fit</t>
  </si>
  <si>
    <t>The complaint explicitly describes the issue represented by the distinctive topic terms.</t>
  </si>
  <si>
    <t>Broad fit</t>
  </si>
  <si>
    <t>The main issue falls within the theme, but the topic misses useful detail or mixes several issues.</t>
  </si>
  <si>
    <t>Template fit</t>
  </si>
  <si>
    <t>The repeated letter or statutory wording matches; this does not prove a separate substantive issue.</t>
  </si>
  <si>
    <t>Partial fit</t>
  </si>
  <si>
    <t>Some words or product terms match, but the central problem is not captured well.</t>
  </si>
  <si>
    <t>Insufficient text</t>
  </si>
  <si>
    <t>The complaint supplies too little context to establish its fit.</t>
  </si>
  <si>
    <t>Topic unclear</t>
  </si>
  <si>
    <t>The supplied keywords do not define a stable issue clearly enough to judge.</t>
  </si>
  <si>
    <t>Main findings</t>
  </si>
  <si>
    <t>The clearest examples concern late-payment errors, debt validation/collection, identity theft and unauthorized inquiries. See the individual reasons in Review.</t>
  </si>
  <si>
    <t>Several topics mainly capture repeated statutory letters: LSA C2+, LDA T11, BERTopic B4 and NMF N2. NMF N8 and N9 also contain closely repeated templates.</t>
  </si>
  <si>
    <t>Five assignments are partial matches: review rows 44, 65, 66, 70 and 94. Examples include a name-spelling error in an inquiry topic and identity theft in a student-loan topic.</t>
  </si>
  <si>
    <t>Two keyword sets are too vague to interpret confidently: LDA T12 and BERTopic B1. The account-number fragment (document 666137) is unassessable in both LDA and NMF.</t>
  </si>
  <si>
    <t>LSA assigns 712 of the 1,000 held-out complaints to C1+. Good fits among its selected examples do not resolve that broad-topic concentration or prove good separation.</t>
  </si>
  <si>
    <t>Complaint-topic review</t>
  </si>
  <si>
    <t>Filter Fit? for No or Unclear. Yes includes clear, broad and template fits. The full complaint is in Complaints; the final column gives its first worksheet row.</t>
  </si>
  <si>
    <t>Topic</t>
  </si>
  <si>
    <t>Document ID</t>
  </si>
  <si>
    <t>Reviewer notes</t>
  </si>
  <si>
    <t>Complaint excerpt (first 330 characters)</t>
  </si>
  <si>
    <t>Interpreted topic theme</t>
  </si>
  <si>
    <t>Original model label</t>
  </si>
  <si>
    <t>Original model score</t>
  </si>
  <si>
    <t>Source review row</t>
  </si>
  <si>
    <t>Full text starts at row</t>
  </si>
  <si>
    <t>C1+</t>
  </si>
  <si>
    <t>1238069</t>
  </si>
  <si>
    <t>The complaint concerns fraudulent inquiries and credit-report corrections. This fits the broad credit-reporting component, but the label does not distinguish identity theft from other reporting problems.</t>
  </si>
  <si>
    <t>Hi I am submitting this this is not any influence and this is not a third party. has low and unfair credit number for me in their report. I have complained more than 88 times nonstop this is exhausting im they are not putting these fraudulent inquiries in dispute and accounts and they still have not deleted them either I am depr …</t>
  </si>
  <si>
    <t>Credit reporting and account information (broad)</t>
  </si>
  <si>
    <t>Component 1, + pole</t>
  </si>
  <si>
    <t>383422</t>
  </si>
  <si>
    <t>The consumer disputes an account's open/closed status, late-payment reporting and balances. Credit-reporting accuracy fits, although this component is very broad.</t>
  </si>
  <si>
    <t>I am completely appalled and disgusted at the fact that your company is willing reporting unverifiable and inaccurate information on my credit report even after the alleged account was disputed multiple times. There is a alleged charged off account that has been reporting inaccurately since the time the alleged account was charg …</t>
  </si>
  <si>
    <t>211435</t>
  </si>
  <si>
    <t>The complaint challenges reported dates and seeks investigation or removal. This fits credit-reporting accuracy, with substantial legal-template wording.</t>
  </si>
  <si>
    <t>The credit bureaus stated my account was properly investigated but how is that possible if the open date is inaccurate, the date last active is inaccurate, and date last reported is not accurate. This the ground for removal they also violated my rights under 15 U.S.C. 1681 section 602 A. states I have the right to privacy. 15 U. …</t>
  </si>
  <si>
    <t>C2+</t>
  </si>
  <si>
    <t>1260106</t>
  </si>
  <si>
    <t>The text repeats privacy and written-instruction claims under the FCRA. The statutory keywords match closely; this is a writing-template theme rather than a specific product problem.</t>
  </si>
  <si>
    <t>In accordance with the Fair Credit Reporting act . , , has violated my rights. 15 U.S.C 1681 section 602 A. States I have the right to privacy. 15 U.S.C 1681 Section 604 A Section 2 : It also states a consumer reporting agency can not furnish a account without my written instructions.</t>
  </si>
  <si>
    <t>FCRA privacy and written-consent template</t>
  </si>
  <si>
    <t>Component 2, + pole</t>
  </si>
  <si>
    <t>256515</t>
  </si>
  <si>
    <t>The privacy and written-instruction letter matches the legal-rights keywords. It closely resembles the other examples in this topic, limiting the variety demonstrated.</t>
  </si>
  <si>
    <t>In accordance with the Fair Credit Reporting Act, * has violated my rights. 15 U.S.C 1681 section 602 A. states that I have the right to privacy. 15 U.S.C 1681 Section 604 A. Section 2 : It also states that a consumer reporting agency can not furnish an account without my written instructions.</t>
  </si>
  <si>
    <t>731483</t>
  </si>
  <si>
    <t>The complaint uses the same FCRA privacy and consent template as the other examples. The wording fits, but does not demonstrate a distinct financial issue.</t>
  </si>
  <si>
    <t>In accordance with the Fair Credit Reporting Act has violated my rights. 15 U.S.C. 1681 section 602 A. states I have the rights to privacy. 15 U.S.C. 1681 section 604 A section : It also states a consumer reporting agency can not furnish an account without my written instruction.</t>
  </si>
  <si>
    <t>C3+</t>
  </si>
  <si>
    <t>1027224</t>
  </si>
  <si>
    <t>The consumer explicitly disputes incorrect items on a credit report. This directly matches the component's inaccurate-information and removal terms.</t>
  </si>
  <si>
    <t>I have filed a dispute in regards to the incorrect items on my credit report. Information is inaccurate on report</t>
  </si>
  <si>
    <t>Credit-report corrections and identity theft</t>
  </si>
  <si>
    <t>Component 3, + pole</t>
  </si>
  <si>
    <t>419876</t>
  </si>
  <si>
    <t>The consumer reports identity theft and requests deletion of disputed credit entries using an FTC affidavit. Both the identity-theft and report-correction terms fit.</t>
  </si>
  <si>
    <t>I am writing to delete the following information in my file. The items I need to delete are listed in the report. I am a victim of identity theft. I ask that the item be deleted to correct my credit report. I reported the theft of my identity to the federal trade commission and I also have enclosed copies of the federal trade co …</t>
  </si>
  <si>
    <t>518978</t>
  </si>
  <si>
    <t>The complaint asks for removal of credit items linked to identity theft. This matches the keywords, although its template resembles another selected example.</t>
  </si>
  <si>
    <t>" I am writing to delete the following information in my file. The items I need deleted are listed in the report. I am a victim of identity theft and did not make the charge. I ask that the items be deleted to correct my credit report. I reported the theft of my identity to the Federal Trade Commission and I also have enclosed c …</t>
  </si>
  <si>
    <t>C3-</t>
  </si>
  <si>
    <t>571978</t>
  </si>
  <si>
    <t>The mortgage servicer allegedly misapplied or reversed payments, then demanded arrears and fees. Loan servicing and payment problems are central to this component.</t>
  </si>
  <si>
    <t>My complaint is about , formerly named , also part of Shellpoint Mortgage Servicing. On my / / statement, I was told to pay a partial payment of my usual monthly mortgage. My usual payment is {$1400.00} per month. My statement said to pay {$370.00}, as a {$1000.00} payment had already been applied. I paid {$400.00} for my statem …</t>
  </si>
  <si>
    <t>Loan servicing and payment problems</t>
  </si>
  <si>
    <t>Component 3, - pole</t>
  </si>
  <si>
    <t>1264038</t>
  </si>
  <si>
    <t>Student-loan payments and forgiveness counts were allegedly misapplied. The broad loan/payment theme fits, although it does not identify student-loan forgiveness specifically.</t>
  </si>
  <si>
    <t>A student loan was taken out in of for an add on degree. -Graduated in summer -went back to school in Spring -graduated in / / The total amount borrowed was {$34000.00} According to my records/bank statements and payment history, we have paid {$64000.00} towards the loan. {$17000.00} was forgiven with teacher loan forgiveness pr …</t>
  </si>
  <si>
    <t>533988</t>
  </si>
  <si>
    <t>The complaint describes mortgage-payment handling, escrow or insurance errors and delinquency after a servicing transfer. These are direct loan-servicing and payment issues.</t>
  </si>
  <si>
    <t>The service provider is Bayview loan services. They purchased my mortgage from in / / . In / / they sent me a welcome letter and an invoice in the amounts of {$5700.00}. My monthly payment on my mortgage has always been {$1600.00} per month ( I have a fixed 30 years mortgage ). All of a sudden I was received this large bill for  …</t>
  </si>
  <si>
    <t>C4+</t>
  </si>
  <si>
    <t>644997</t>
  </si>
  <si>
    <t>The consumer says a collector failed to validate a debt despite letters. Debt collection, requests for evidence and validation are central to the topic.</t>
  </si>
  <si>
    <t>In of 2019 i sent a request to the company Innovative Recovery to get information on a claim for a debt owed. I sent certified letter between and of 2019. Company failed to send any information regarding this debt. I filled dispute through , , and in which the company still failed to send any verification of debt. In of 2019 the …</t>
  </si>
  <si>
    <t>Debt collection and validation</t>
  </si>
  <si>
    <t>Component 4, + pole</t>
  </si>
  <si>
    <t>515686</t>
  </si>
  <si>
    <t>A collector allegedly contacted the consumer's father, threatened action and supplied no proof. This fits collection conduct and debt validation.</t>
  </si>
  <si>
    <t>Someone from this number, keeps calling my father 's residence looking to speak with me. Apparently, she has told my dad there will be legal action taken against me if I do not pay " said debt ''. However, I have all my financial information taken care of. She is violating the Fair Debt Collection Practices Act by threatening so …</t>
  </si>
  <si>
    <t>981218</t>
  </si>
  <si>
    <t>The consumer disputes collection and repossession after an unanswered validation request. The collection and proof-of-debt theme fits the main issue.</t>
  </si>
  <si>
    <t>Alleged Creditor ( finance company ) sold a debt to a third party company back in / /2018. The third party company sent me a letter making a claim that they will be servicing an account. The notice included : IMPORTANT NOTICE ABOUT YOUR RIGHTS : Unless you dispute this debt or any portion of it within thirty days after receipt o …</t>
  </si>
  <si>
    <t>C4-</t>
  </si>
  <si>
    <t>787606</t>
  </si>
  <si>
    <t>The consumer says an account was fraudulently opened in their name. Account ownership and fraudulent opening directly match this component.</t>
  </si>
  <si>
    <t>I never had an account with this is a fraudulent account thats been opened in my name</t>
  </si>
  <si>
    <t>Account ownership, opening and closure</t>
  </si>
  <si>
    <t>Component 4, - pole</t>
  </si>
  <si>
    <t>662678</t>
  </si>
  <si>
    <t>The consumer denies owning a Visa account and attributes it to identity theft. This fits the fraudulent-account and ownership terms.</t>
  </si>
  <si>
    <t>I am a victim of identity theft and someone stole my identity and personal information to open up a Visa credit card account with Bank of America. The following Bank of America Visa credit card account do not belong to me : .</t>
  </si>
  <si>
    <t>1264580</t>
  </si>
  <si>
    <t>Reversed airline credits allegedly produced a negative balance and a closed Chase account. The account/balance/closure terms fit, but the fraud and identity-theft terms are not central here.</t>
  </si>
  <si>
    <t>I was given credits for canceled flights by through my chase bank account. The fees were reversed and took my account over {$400.00} negative and my account was closed by the bank now I can not open an account with any other bank or credit union due to this the airline was supposed to issue a flight credit and never did then tol …</t>
  </si>
  <si>
    <t>C5+</t>
  </si>
  <si>
    <t>1126378</t>
  </si>
  <si>
    <t>The complaint attributes an unwanted debt account to identity theft involving a Social Security number. This directly fits fraudulent accounts and debts not owned.</t>
  </si>
  <si>
    <t>I have a open debt with with the account number of # that was open / /2016. Its a debt of $ that was open until / /2016. I am a victim of identity theft. somebody as been using my social security number in opening numerous accounts.</t>
  </si>
  <si>
    <t>Fraudulent accounts and debts not owned</t>
  </si>
  <si>
    <t>Component 5, + pole</t>
  </si>
  <si>
    <t>872389</t>
  </si>
  <si>
    <t>The statement says the collection account is not the consumer's. It is brief, but its main account-ownership issue is explicit and fits the topic.</t>
  </si>
  <si>
    <t>this collection account not mine</t>
  </si>
  <si>
    <t>620963</t>
  </si>
  <si>
    <t>The consumer links an unvalidated collection account to identity theft and asks for removal. The fraudulent-account and collection terms both fit.</t>
  </si>
  <si>
    <t>My name is and I am a victim of identity theft. I contacted the debt collector IC System and disputed the alleged debt pursuant to the FDCPA and FCRA. As of this complaint I have not received any proof or validation of this alleged debt. I did NOT incur this debt. I am attaching my identity theft notice/report from the FTC in an …</t>
  </si>
  <si>
    <t>C5-</t>
  </si>
  <si>
    <t>975891</t>
  </si>
  <si>
    <t>The consumer disputes a past-due payment entry and says no late payment occurred. This directly matches the late-payment reporting theme.</t>
  </si>
  <si>
    <t>has past due payment for the month of and / /2017. I do not have any late payments</t>
  </si>
  <si>
    <t>Late payments and credit-report accuracy</t>
  </si>
  <si>
    <t>Component 5, - pole</t>
  </si>
  <si>
    <t>285821</t>
  </si>
  <si>
    <t>The text explicitly says reported late payments are inaccurate. This is a direct, although very short, match to late-payment reporting.</t>
  </si>
  <si>
    <t>THERE ARE LATE PAYMENTS ON MY ACCOUNT THAT ARE NOT ACCURATE I NEVER MADE A LATE PAYMENT</t>
  </si>
  <si>
    <t>932665</t>
  </si>
  <si>
    <t>A late-payment entry was removed, but TransUnion allegedly still shows a 30-days-late status. The remaining reporting error fits the component closely.</t>
  </si>
  <si>
    <t>was incorrectly reporting late payment for / / and I previously submitted a CPFB complaint regarding the handling of that dispute ( see attachment ) .The CPFB complaint was resolved and the company did remove the late payment from the payment history on my reports, however, on my transunion report the payment status is still sho …</t>
  </si>
  <si>
    <t>C6-</t>
  </si>
  <si>
    <t>1061205</t>
  </si>
  <si>
    <t>The entire statement reports being a victim of identity theft. It supports that basic theme, but provides no detail about accounts or inquiries.</t>
  </si>
  <si>
    <t>I have been a victim of identity theft</t>
  </si>
  <si>
    <t>Identity theft and unauthorized inquiries</t>
  </si>
  <si>
    <t>Component 6, - pole</t>
  </si>
  <si>
    <t>953144</t>
  </si>
  <si>
    <t>The consumer explicitly reports identity theft. The basic topic fits, although the one-sentence complaint offers little depth for evaluation.</t>
  </si>
  <si>
    <t>I am a victim of identity theft</t>
  </si>
  <si>
    <t>66524</t>
  </si>
  <si>
    <t>The complaint links unauthorized inquiries to identity theft and asks for blocking. These are the component's distinctive terms.</t>
  </si>
  <si>
    <t>, , consumer and natural person, am a victim of identity theft pursuant to 15 USC 1681a ( Q ) ( 3 ) under the FCRA. I have filed an identity theft report pursuant to 15 USC 1681a ( Q ) ( 4 ). Just an FYI : I understand that a consumer reporting agency shall not furnish to any person a record of inquiries in connection with a cre …</t>
  </si>
  <si>
    <t>T1</t>
  </si>
  <si>
    <t>661001</t>
  </si>
  <si>
    <t>Enhanced Recovery allegedly continues collection without answering a request to verify the debt. This directly matches collection and validation.</t>
  </si>
  <si>
    <t>Enhanced Recovery Company, LLC has corresponded and called me continuously in reference to a debt they allege I some how owe them and I have never signed a contract with them. So I sent them a letter requesting they verify this alleged debt and they ignored it and are still trying to pursue this alleged debt</t>
  </si>
  <si>
    <t>Debt collection and requests for proof</t>
  </si>
  <si>
    <t>Topic 1</t>
  </si>
  <si>
    <t>1138081</t>
  </si>
  <si>
    <t>The text complains about summary judgments and court hearings but does not state what debt or collection issue is involved. A debt-collection fit cannot be established from the supplied wording alone.</t>
  </si>
  <si>
    <t>Frederick Hanna and associates continues to get summary judgements on cases without getting hearings by judges even iif request hearing in writing to judges, wonder if judges are more in agreement with Frederick Hanna than the defendant in all cases?</t>
  </si>
  <si>
    <t>312348</t>
  </si>
  <si>
    <t>The consumer received a summons and requests evidence of an obligation to pay. The proof-of-debt and collection-dispute theme fits.</t>
  </si>
  <si>
    <t>Received court summons on / / without prior notice and proof of claim, requesting that the office provide me with competent evidence that I have any legal obligation to pay. Request VALIDATION pursuant to the Fair Debt Collection Practices Act, 15 USC 1692g Sec. 809 { b }.</t>
  </si>
  <si>
    <t>T10</t>
  </si>
  <si>
    <t>1105422</t>
  </si>
  <si>
    <t>The consumer describes mortgage-payment difficulty, unsuccessful modification requests and foreclosure. This directly matches the loan-repayment and modification topic.</t>
  </si>
  <si>
    <t>In 2011, I was having difficulty making my mortgage payment. I tried several times to get a loan modification with Wells Fargo but was unsuccessful. I eventually ended up selling the house through the foreclosure process.</t>
  </si>
  <si>
    <t>Loan repayment and modification</t>
  </si>
  <si>
    <t>Topic 10</t>
  </si>
  <si>
    <t>893373</t>
  </si>
  <si>
    <t>The consumer challenges a denied mortgage-forbearance extension and a foreclosure notice. Payment relief and mortgage servicing are central to this topic.</t>
  </si>
  <si>
    <t>Requested mortgage forbearance for my mortgage because my family was affected by , I am unemployed my wife is our sole provider currently, my son need for the because of from having . I was approved for a forbearance. I requested additional time to recover from loss of income but was denied assistance. Requested mortgage assista …</t>
  </si>
  <si>
    <t>144480</t>
  </si>
  <si>
    <t>The complaint concerns Nelnet's handling of an income-based student-loan repayment plan. The loan/payment theme fits, although the topic's mortgage terms do not describe this product.</t>
  </si>
  <si>
    <t>From the moment I went into loan repayment, I engaged Nelnet to find the most affordable option available for me. They put me on the lowest payment option ( not a federal program ) that extends the life of the loan and accrues the largest amount of interest. This option was absolutely in their interest, and did nothing to help m …</t>
  </si>
  <si>
    <t>T11</t>
  </si>
  <si>
    <t>1238593</t>
  </si>
  <si>
    <t>The complaint uses repeated FCRA privacy and consent arguments. The legal-rights keywords fit the wording, but mostly capture a letter template.</t>
  </si>
  <si>
    <t>In accordance with the Fair Credit Reporting act. The List of accounts below has violated my federally protected consumer rights to privacy and confidentiality under 15 USC 1681. , has violated my rights. # , has violated my rights. , has violated my rights. # , has violated my rights. # , has violated my rights. # , has violate …</t>
  </si>
  <si>
    <t>Consumer-reporting rights and statutory letters</t>
  </si>
  <si>
    <t>Topic 11</t>
  </si>
  <si>
    <t>522413</t>
  </si>
  <si>
    <t>The privacy and written-consent language closely matches this statutory-rights topic. Similar wording appears in the other selected examples.</t>
  </si>
  <si>
    <t>In accordance with the Fair Credit Reporting act. The List of accounts below has violated my federally protected consumer rights to privacy and confidentiality under 15 USC 1681. Account name : # , has violated my rights. 15 U.S.C 1681 section 602 A. States I have the right to privacy. 15 U.S.C 1681 Section 604 A Section 2 : It  …</t>
  </si>
  <si>
    <t>1181839</t>
  </si>
  <si>
    <t>The text repeats a consumer-rights and written-instruction template. This is a strong style match, not evidence of a separate product category.</t>
  </si>
  <si>
    <t>In accordance with the Fair Credit Reporting act. The List of accounts below has violated my federally protected consumer rights to privacy and confidentiality under 15 USC 1681. has violated my rights. 15 U.S.C 1681 section 602 A. States I have the right to privacy. 15 U.S.C 1681 Section 604 A Section 2 : It also states a consu …</t>
  </si>
  <si>
    <t>T12</t>
  </si>
  <si>
    <t>793420</t>
  </si>
  <si>
    <t>The complaint clearly alleges identity theft and requests blocking of disputed records. T12 mixes balance, PayPal and generic record terms, so its intended subject is too unclear for a confident fit judgement.</t>
  </si>
  <si>
    <t>This is my endeavor to tell you that I am a victim of identity theft and I complain to question specific records in my document coming about because of the wrongdoing. The records I am questioning connect with no exchanges acquiring any possession of goods, services or money that I have made or authorized. Assuming no one cares  …</t>
  </si>
  <si>
    <t>Unclear: balances, records and mixed terms</t>
  </si>
  <si>
    <t>Topic 12</t>
  </si>
  <si>
    <t>630509</t>
  </si>
  <si>
    <t>The main issue is identity theft and blocking disputed records. T12's mixed keywords do not provide a sufficiently clear theme; shared words such as record or complaint are not enough to judge fit.</t>
  </si>
  <si>
    <t>This is my fourth endeavor to tell you that I am a victim of identity theft and I complain to question specific records in my document coming about because of the wrongdoing. The records I am questioning connect with no exchanges acquiring any possession of goods, services, or money that I have made or authorized. Assuming no on …</t>
  </si>
  <si>
    <t>224361</t>
  </si>
  <si>
    <t>This identity-theft blocking letter resembles the other T12 examples. The repeated wording suggests a template, but the supplied topic keywords remain too mixed to label confidently.</t>
  </si>
  <si>
    <t>This is my several endeavor to tell you that I am a victim of identity theft and I complain to question specific records in my document coming about because of the wrongdoing. The records I am questioning connect with no exchanges acquiring any possession of goods, services or money that I have made or authorized. Assuming no on …</t>
  </si>
  <si>
    <t>T2</t>
  </si>
  <si>
    <t>190711</t>
  </si>
  <si>
    <t>The complaint combines a credit-score discrepancy with disputed inquiries that TransUnion allegedly would not remove. Credit reports, scores and removal requests fit the topic.</t>
  </si>
  <si>
    <t>Hi I am submitting this this is not any influence and this is not a third party. TransUnion has low and unfair credit number for me in their report. I have complained. The problem has not been resolved. my fico has me at a credit score over 719transunion has me at a score around 590. That is a huge difference. transunion paints  …</t>
  </si>
  <si>
    <t>Credit reports, scores and removal disputes</t>
  </si>
  <si>
    <t>Topic 2</t>
  </si>
  <si>
    <t>442033</t>
  </si>
  <si>
    <t>The consumer challenges credit-score/report information and removal of identity-theft inquiries. This fits the reporting-dispute theme, but closely resembles another example.</t>
  </si>
  <si>
    <t>Hi I am submitting this this is not any influence and this is not a third party. has low and unfair credit number for me in their report. I have complained. The problem has not been resolved. my fico has me at a credit score over 719XXXX has me at a score around 590. That is a huge difference. paints me as a . my fico say I have …</t>
  </si>
  <si>
    <t>684583</t>
  </si>
  <si>
    <t>The consumer disputes negative reporting during an active bankruptcy. The topic's credit-report and bureau-dispute terms fit the central issue.</t>
  </si>
  <si>
    <t>still reporting negative information on my credit report when I have been in an active Chapter bankruptcy since / /2019.</t>
  </si>
  <si>
    <t>T3</t>
  </si>
  <si>
    <t>1232199</t>
  </si>
  <si>
    <t>Missing electronic statements allegedly led to a missed bill and late payment. Card billing, payments and late-payment terms fit the complaint.</t>
  </si>
  <si>
    <t>I was not receiving electronic statements and did not get my bill. The payment was marked as late.</t>
  </si>
  <si>
    <t>Card billing, payments and late fees</t>
  </si>
  <si>
    <t>Topic 3</t>
  </si>
  <si>
    <t>1245185</t>
  </si>
  <si>
    <t>The main request is to restore credit limits reduced after large payments. The topic covers card payments, charges and late fees, but misses the central credit-limit decision.</t>
  </si>
  <si>
    <t>I paid a large payment to synchrony bank for my Walmart card and they lowered my limit by the amount I paid, never been late on this account always paid as agreed. I called and the Rep said they looked at my credit and lowered based off that, I have 3 other cards with them and they did the same thing to my QVC card. This is redi …</t>
  </si>
  <si>
    <t>The consumer disputes a past-due payment entry. The payment and late-payment terms fit the main issue, even though this is a reporting dispute.</t>
  </si>
  <si>
    <t>T4</t>
  </si>
  <si>
    <t>937058</t>
  </si>
  <si>
    <t>The consumer identifies unfamiliar hard inquiries on their credit report. This directly matches the unauthorized-inquiry theme.</t>
  </si>
  <si>
    <t>There are many Hard Inquiries in my credit report that I am not familiar with</t>
  </si>
  <si>
    <t>Topic 4</t>
  </si>
  <si>
    <t>470749</t>
  </si>
  <si>
    <t>The consumer says their Social Security number was used for unauthorized accounts and references an FTC report. Identity theft and fraudulent accounts fit directly.</t>
  </si>
  <si>
    <t>This is please do not deny my complaint by stating that I filed this by some other means than myself. This is done 100 % by me. I declare under penalty of perjury I am alleging that a person or company- without my authorization- from unauthorized use of my social security number and card used my personal identifying information  …</t>
  </si>
  <si>
    <t>1217151</t>
  </si>
  <si>
    <t>The complaint links a stolen Social Security number to unknown accounts and requests removal. This directly matches identity theft and fraudulent reporting.</t>
  </si>
  <si>
    <t>I went to file my taxes and I was told by my consultant that my identity has been stolen because someone had already filed under my social security. I then pulled my credit report to see what all has been opened under my name. There was an outrageous amount of unknown, suspicious items I am familiar with. Please remove these ite …</t>
  </si>
  <si>
    <t>T5</t>
  </si>
  <si>
    <t>1255332</t>
  </si>
  <si>
    <t>The consumer complains about repeated calls concerning a son's disputed debt. Contact and communication fit the broad topic, but the keywords do not distinguish debt collection specifically.</t>
  </si>
  <si>
    <t>Someone called from saying they are trying to contact my son says that he owes money ( which he does n't ) and to call at call two to three time per day and it 's very aggravating.</t>
  </si>
  <si>
    <t>Contact and payment communications (broad)</t>
  </si>
  <si>
    <t>Topic 5</t>
  </si>
  <si>
    <t>172084</t>
  </si>
  <si>
    <t>The complaint describes disputed medical bills, contact with a relative and threatening letters. Communication and payment words fit, but the topic is less specific than a debt-collection label.</t>
  </si>
  <si>
    <t>I went to a clinic when I was to have a . My dad went with me and when he asked the receptionist what it cost, he was told {$20.00}, which he paid. A few months later my step mom, who was not there at the time, starting getting letters saying she owed {$140.00} for this ; she was never there and never signed, so she responded to …</t>
  </si>
  <si>
    <t>1085221</t>
  </si>
  <si>
    <t>The consumer wants repeated calls without messages to stop. The phone/contact theme fits, although the financial subject is not stated.</t>
  </si>
  <si>
    <t>I received a call today / /2019 from at I answered it and I got no response or anything I hung up. I did say hello though. I got another call at from # and a girl answered the phone. she asked for me by my full first and last name. I said did not you just call me from the 877 # and she said yes. I told her okay you guys call me  …</t>
  </si>
  <si>
    <t>T6</t>
  </si>
  <si>
    <t>666137</t>
  </si>
  <si>
    <t>The supplied text is only 'Account number ending in .'. It contains no problem description, so topic fit cannot be assessed.</t>
  </si>
  <si>
    <t>Account number ending in .</t>
  </si>
  <si>
    <t>Account details, status and balances</t>
  </si>
  <si>
    <t>Topic 6</t>
  </si>
  <si>
    <t>531049</t>
  </si>
  <si>
    <t>The complaint requests removal of incorrect account information and lists account type, status and closure details. This matches the account-record/status theme.</t>
  </si>
  <si>
    <t>remove incorrect info FCRA VIOLATION see attached documents Account Name Account Number Account Type Auto Lease Responsibility Individual Date Opened / / Status Paid, Closed. Status Updated / / Balance - Balance Updated - Recent Payment - Monthly Payment {$0.00} Original Balance {$8600.00} Highest Balance {$0.00} Terms 42 Months</t>
  </si>
  <si>
    <t>482755</t>
  </si>
  <si>
    <t>The consumer disputes unverified entries and lists creditor, opening-date and balance fields. The topic captures those structured account details, but not the full reason for the dispute.</t>
  </si>
  <si>
    <t>This is , who is submitting this CFPB complaint myself, and to inform you that there is no third party involved in the process. Regardless of the multiple written requests, the unverified accounts listed below are still reporting on my credit report in violation of federal law. The /Equifax Credit Bureaus failed to comply with t …</t>
  </si>
  <si>
    <t>T7</t>
  </si>
  <si>
    <t>243041</t>
  </si>
  <si>
    <t>The consumer disputes a mortgage appraisal and resulting private mortgage insurance. Property, mortgage and insurance terms fit the main issue.</t>
  </si>
  <si>
    <t>recommended Cardinal financial company to finance a mortgage on a home purchase in , Fl. The bank took to long to process the application by holding up the processing over {$140.00} non payment of old bill and it took 4 weeks to appraise the property. The property was under appraised which should have given me the ability to can …</t>
  </si>
  <si>
    <t>Property, insurance and collateral</t>
  </si>
  <si>
    <t>Topic 7</t>
  </si>
  <si>
    <t>77916</t>
  </si>
  <si>
    <t>The complaint concerns lender-placed insurance and a disputed theft-coverage claim. Insurance and collateral/property terms fit, without establishing whether the coverage claim is legally valid.</t>
  </si>
  <si>
    <t>The lender Bank of America placed insurance of my property and I was never fully explained how it worked. My old policy was somewhere around {$990.00} and Bank of America said that lender placed insurance would be slightly higher than what I could purchase myself but their policy was lower than what I was paying. I thought why s …</t>
  </si>
  <si>
    <t>1250164</t>
  </si>
  <si>
    <t>The consumer alleges damage during a mortgage company's property-preservation work. This fits the broad property/mortgage theme, rather than the topic's tax or vehicle terms.</t>
  </si>
  <si>
    <t>Nationstar hired , and they broke into my home and caused damage under the guise of property preservation and winterization. Nationstar knew the house was already winterized. They allegedly left the door they broke to my home open to the elements for 6 months and damaged door lock assemblies throughout, as well as tampered with  …</t>
  </si>
  <si>
    <t>T8</t>
  </si>
  <si>
    <t>952238</t>
  </si>
  <si>
    <t>Chase allegedly closed a checking account while withholding the consumer's funds. Bank-account access and held funds fit directly.</t>
  </si>
  <si>
    <t>JP Morgan Chase closed my checking account and is holding {$15000.00} in a suspense account. I have reached out to their loss prevention team and they told me that those funds can be held up to 3 years. Not sure what will happen after that. Please help in resolving this and getting funds returned back to the account holder.</t>
  </si>
  <si>
    <t>Bank accounts and access to funds</t>
  </si>
  <si>
    <t>Topic 8</t>
  </si>
  <si>
    <t>834031</t>
  </si>
  <si>
    <t>The consumer says a bank would not allow an account to be linked to another service. This fits broad bank-account access, but the short text limits detail.</t>
  </si>
  <si>
    <t>I attempted to link my bank to and it said my bank will not allow it</t>
  </si>
  <si>
    <t>1267438</t>
  </si>
  <si>
    <t>A payroll deposit was allegedly reversed without notice. Bank funds and account transactions are central to the topic.</t>
  </si>
  <si>
    <t>1. On / / , my former employer - - direct deposited my payroll check for the period / / - / / in the amount of {$1600.00}. 2. On / / my former employer - WITHDREW {$1600.00} from my checking account without my permission. 3. My bank - Wells Fargo - allowed this transaction, facilitated this transaction, and did NOT inform me thi …</t>
  </si>
  <si>
    <t>T9</t>
  </si>
  <si>
    <t>1146232</t>
  </si>
  <si>
    <t>The consumer requests removal of an unverified account after an unanswered dispute letter. This directly matches credit-report dispute and deletion terms.</t>
  </si>
  <si>
    <t>This is not a duplicate nor is this complaint being filed by a third party, I am filing this complaint myself. Please see this complaint is processed to the letter of the law. Despite multiple written requests, the unverified account listed below continue to report on my credit report, in violation of federal law. I included a d …</t>
  </si>
  <si>
    <t>Credit-report disputes and deletion requests</t>
  </si>
  <si>
    <t>Topic 9</t>
  </si>
  <si>
    <t>126517</t>
  </si>
  <si>
    <t>Equifax allegedly did not answer dispute letters seeking corrections or removal. This is a direct match to the bureau-dispute theme.</t>
  </si>
  <si>
    <t>This is , who is submitting this CFPB complaint myself, and to inform you that there is no third party involved in the process. I sent letters to Equifax Credit Bureau the date of the last letter was on / /2021. And now we are in the month of / /2021 and still nothing from them. That means Equifax has NOT complied with the Fair  …</t>
  </si>
  <si>
    <t>316293</t>
  </si>
  <si>
    <t>The consumer says TransUnion did not answer disputes about an education account and asks for removal. The report/letter/deletion theme fits.</t>
  </si>
  <si>
    <t>This is , who is submitting this CFPB complaint myself, and to inform you that there is no third party involved in the process. I sent letters to TransUnion Credit Bureau the date of the last letter was on 2021. And now we are in the month of 2021 and still nothing from them. That means TransUnion has NOT complied with the FairC …</t>
  </si>
  <si>
    <t>B0</t>
  </si>
  <si>
    <t>1000280</t>
  </si>
  <si>
    <t>The consumer reports unauthorized use of personal information and unfamiliar credit inquiries. The inquiry-focused topic fits the complaint.</t>
  </si>
  <si>
    <t>My personal information was used without my knowledge and because of several phone calls from creditors that did not belong to me, that prompted me to check my credit. Upon checking my credit, I have noticed that there are several inquiries and credit accounts that were not requested by me were listed on my credit report.</t>
  </si>
  <si>
    <t>Credit inquiries and their report/score effects</t>
  </si>
  <si>
    <t>Online BERTopic cluster 0</t>
  </si>
  <si>
    <t>1006349</t>
  </si>
  <si>
    <t>The complaint is about a misspelled name on a credit report. It shares generic reporting words, but does not concern the topic's distinctive credit-inquiry theme.</t>
  </si>
  <si>
    <t>I looked at my credit report today and it has my name on there mispelled.</t>
  </si>
  <si>
    <t>1008339</t>
  </si>
  <si>
    <t>The consumer seeks goodwill removal of historical delinquencies affecting loan access. This is a payment-history/reporting issue rather than a hard-inquiry issue; B9 would be a plausible alternative to inspect.</t>
  </si>
  <si>
    <t>My credit reports have three Negative connotations. They are defined as : serious delinquency.They happened in 2012, when I was a new immigrant, and I did not know about the country 's credit system. The three accounts about because of events in life, I live in the United States at that time, my father is years old living in , h …</t>
  </si>
  <si>
    <t>B1</t>
  </si>
  <si>
    <t>1003545</t>
  </si>
  <si>
    <t>The consumer received an unsolicited U.S. Bank ReliaCard. B1's generic account, number, information and phone terms do not identify a clear enough issue to judge this assignment confidently.</t>
  </si>
  <si>
    <t>received us bank reliacard which I never requested. Carb number</t>
  </si>
  <si>
    <t>Unclear: generic account and contact terms</t>
  </si>
  <si>
    <t>Online BERTopic cluster 1</t>
  </si>
  <si>
    <t>1007823</t>
  </si>
  <si>
    <t>The text describes someone using information to obtain accounts. Identity theft is clear, but B1's generic account/contact terms leave its intended subject unclear; B11 is worth inspecting.</t>
  </si>
  <si>
    <t>Someone used information to obtain account # on / / , account on / / , account # on / /</t>
  </si>
  <si>
    <t>1008096</t>
  </si>
  <si>
    <t>The consumer questions how accounts were verified and requests removal after no answer. B1's generic account/contact keywords are too vague to judge confidently; B5 is a plausible alternative.</t>
  </si>
  <si>
    <t>I have inquired multiple times with the company to verify HOW DID THEY VERIFY the accounts in question. I have asked whom did they speak with to verify the accounts along with other questions and the could not verify that they legally verified the accounts. I had asked if they could not tell me how they legally verified the acco …</t>
  </si>
  <si>
    <t>B10</t>
  </si>
  <si>
    <t>1007505</t>
  </si>
  <si>
    <t>The complaint mainly concerns a closed card account, payment handling and disputed balances or fees. The bank/deposit/transfer theme only partly fits; the card-focused B6 is a plausible alternative.</t>
  </si>
  <si>
    <t>I closed this account on as this bank gave my Daughter a card on my account in but in they refused to add my wife to the account the whole bill owed is my daughters debt none of it is mine I made a payment to catch account up of this paid it up thru / / these is were the fun begins see on / / my credit report should balance of t …</t>
  </si>
  <si>
    <t>Bank accounts, deposits, transfers and funds</t>
  </si>
  <si>
    <t>Online BERTopic cluster 10</t>
  </si>
  <si>
    <t>1026633</t>
  </si>
  <si>
    <t>A transfer between accounts allegedly triggered a fraud hold and frozen savings. Bank transfers, funds and account access fit the topic directly.</t>
  </si>
  <si>
    <t>On / / I transferred a total of {$6000.00} from my joint savings into my personal checking. This had been discussed between both account holders. The following day the person I shared my joint checking and savings account with filed a fraud claim and closed both accounts. Shortly after Bank of America put a {$880000.00} freeze o …</t>
  </si>
  <si>
    <t>1078181</t>
  </si>
  <si>
    <t>The consumer alleges that a bank employee disclosed savings-account balances to a spouse. The bank/account theme fits broadly, but the specific privacy issue is not captured by the main keywords.</t>
  </si>
  <si>
    <t>I would deposit large sums of my paycheck into this account to save money for future bills or purchases and also as an emergency fund. Nobody was on the account or authorized to access this account. It was in my name only and until an employee, , while working as an employee of TD Bank had given my account information and balanc …</t>
  </si>
  <si>
    <t>B11</t>
  </si>
  <si>
    <t>1002478</t>
  </si>
  <si>
    <t>The consumer denies knowing a collection account and requests its removal. Disputed account ownership and deletion fit the topic.</t>
  </si>
  <si>
    <t>I was shocked when I reviewed my credit report and found collection account on my credit report. I am not sure how this happened, but this is a total violations of FCRA and FDCPA, and under these provisions I demand that this account be removed from my credit file as I never had any type of relationship with this company or any  …</t>
  </si>
  <si>
    <t>Fraudulent or unrecognized credit entries</t>
  </si>
  <si>
    <t>Online BERTopic cluster 11</t>
  </si>
  <si>
    <t>1006538</t>
  </si>
  <si>
    <t>The complaint alleges a fraudulent bankruptcy entry that cannot be removed. The fraudulent-record and deletion theme fits, although this is a public record rather than an opened account.</t>
  </si>
  <si>
    <t>I have tried numerous times to have a bankruptcy that is reporting on my file removed as it is not mine. The company reporting it to you is frozen to my personal information due to fraud. So how is it possible this wrong information is reporting on my credit report. This is my last attempt to have it removed or I will be taking  …</t>
  </si>
  <si>
    <t>1038397</t>
  </si>
  <si>
    <t>The consumer disputes an account linked to a state where they never lived and cites fraud reports. Identity theft, fraudulent accounts and removal fit directly.</t>
  </si>
  <si>
    <t>A fraudulent account from is reporting on my credit. I did not live in the State of California in the year 2018. I live in the State of Louisiana. My address at the time this account was open was : , LA . Ive contacted both the creditor and credit bureaus providing ; FTC report and police report. Both creditor and bureaus are re …</t>
  </si>
  <si>
    <t>B2</t>
  </si>
  <si>
    <t>1006947</t>
  </si>
  <si>
    <t>The complaint uses a long statutory argument about unauthorized inquiries and reporting. Consumer-information and reporting-rights terms fit; much of the match comes from quoted legal/template wording.</t>
  </si>
  <si>
    <t>To Whom It May Concern : I am representing MYSELF and I am the consumer in fact and not a third party. I am communicating with you directly as requested regarding concerns/ issues with my credit report. This letter represents my formal request to again dispute the aforementioned accounts as well as inquiries which are illegally  …</t>
  </si>
  <si>
    <t>Consumer reporting, identity theft and rights</t>
  </si>
  <si>
    <t>Online BERTopic cluster 2</t>
  </si>
  <si>
    <t>1030369</t>
  </si>
  <si>
    <t>The consumer links identity theft to data breaches and requests blocking of credit-report information. Identity theft and report blocking fit directly.</t>
  </si>
  <si>
    <t>I am a victim of identity theft. Due to the Corona Virus Pandemic, we are all facing which has me sitting still at home and I saw the recent news about the multiple Data breaches. I decided to look at my credit reports from the 3 major credit bureaus and found that someone had used my Identity. I have no idea how the theft took  …</t>
  </si>
  <si>
    <t>1055359</t>
  </si>
  <si>
    <t>The complaint challenges an unauthorized inquiry and reporting, citing lack of consent and identity theft. The consumer-information and blocking/rights theme fits; the legal assertions are not verified here.</t>
  </si>
  <si>
    <t>On / /2017 A Company who calls themselves PERFORMANT FINANCIAL CORPORATION was allowed to tap into my Consumer Report without my permission. They did an inquiry without my permission. This is Common practice with the Consumer Reporting Agency without Consumer Consent. I want these Foreign agencies to Cease and desist reporting m …</t>
  </si>
  <si>
    <t>B3</t>
  </si>
  <si>
    <t>1003335</t>
  </si>
  <si>
    <t>The consumer challenges a medical collection debt and requests validation and cessation of collection. This is a direct debt-collection fit.</t>
  </si>
  <si>
    <t>I received information from you attempting to collect the above-listed alleged debt. Your initial communication to me of the alleged-debt was within 30 days ago. Please be further advised, I dispute the validity of the alleged debt in its entirety. Further I request verification of the alleged debt, including, the name and addre …</t>
  </si>
  <si>
    <t>Debt collection and disputed debts</t>
  </si>
  <si>
    <t>Online BERTopic cluster 3</t>
  </si>
  <si>
    <t>1003799</t>
  </si>
  <si>
    <t>The consumer disputes an unfamiliar collection debt and wants the credit entry removed. Debt ownership and collection fit the topic.</t>
  </si>
  <si>
    <t>The debt collector ( FOCUS RECEIVABLES MANAGEMENT ) put in my and credit report a debt collection for {$560.00} from . I dispute the collection in and for the reason that I have never had any service from such a company neither requested any service at all. investigated and delete the derogatory mark but still there. I search fo …</t>
  </si>
  <si>
    <t>1006123</t>
  </si>
  <si>
    <t>The complaint disputes apartment-related collection charges and seeks evidence and removal. The debt-collection theme captures the main issue.</t>
  </si>
  <si>
    <t>nor never contacted me regarding my collection account. In fact, earlier this year I had a collection account deleted due to them not verifying specific information related to the collection account. So, you can see that I was shocked to find another collection account placed on my account without me receiving any information. c …</t>
  </si>
  <si>
    <t>B4</t>
  </si>
  <si>
    <t>104419</t>
  </si>
  <si>
    <t>The complaint repeats FCRA privacy, written-instruction and reporting claims. This closely matches B4's statutory-letter vocabulary, but mainly reflects a template.</t>
  </si>
  <si>
    <t>In accordance with the Fair Credit Reporting act , L # , has violated my rights 15. USC 1681 section 602 A - states rights to privacy U.S.c 1681 Section 604 A section 2 - a consumer reporting Agency can not furnish a account without my written instructions U.s.c 1681c. ( A ) ( 5 ) - no consumer reporting agency may make any cons …</t>
  </si>
  <si>
    <t>Online BERTopic cluster 4</t>
  </si>
  <si>
    <t>1091147</t>
  </si>
  <si>
    <t>The text lists statutory privacy, consent and late-payment provisions. The legal-rights style fits, without proving that the stated legal interpretation is correct.</t>
  </si>
  <si>
    <t>In accordance with the FAIR CREDIT REPORTING ACT this creditor has violated my rights. 15 USC 1681 SECTION 602 States I have the right to privacy. 15 USC 1681 SECTION 604 A SECTION 2 : It also states a consumer reporting agency can not furnish a account without written instructions. 15 USC 1666B : A creditor may not treat a paym …</t>
  </si>
  <si>
    <t>1138417</t>
  </si>
  <si>
    <t>The consumer argues that accounts were furnished without written instructions or a permissible purpose. This matches B4's consent/legal-template theme.</t>
  </si>
  <si>
    <t>This company did not receive my written instructions to furnish the following accounts on my consumer report. They are violating the Fair Credit Reporting Act by furnishing information on my consumer report without permissible purpose. This company is an elaborate mechanism which has a need to insure they are exercising their gr …</t>
  </si>
  <si>
    <t>B5</t>
  </si>
  <si>
    <t>1013131</t>
  </si>
  <si>
    <t>The consumer disputes a bankruptcy entry on credit reports after bureau disputes failed. The inaccurate-report and unresolved-dispute theme fits directly.</t>
  </si>
  <si>
    <t>I have a Bankruptcy Chapter listed on my , and Equifax reports. I have not filed a Bankruptcy within the last 15 years. I have disputed this Bankruptcy which is appearing on my credit reports, and the credit bureaus have left this on my reports.</t>
  </si>
  <si>
    <t>Inaccurate credit reports and unresolved disputes</t>
  </si>
  <si>
    <t>Online BERTopic cluster 5</t>
  </si>
  <si>
    <t>1020426</t>
  </si>
  <si>
    <t>The consumer reports repeated disputes with no verification letters and difficulty obtaining a home. Bureau disputes and unverified information fit directly.</t>
  </si>
  <si>
    <t>I have disputed negative items on my report multiple times almost close to times the bureaus have not sent me no letters to verify these items on my report I have not been given anything I have been calling and been giving the run around repeatedly this is very disheartening because I can not get my house until my credit is fixe …</t>
  </si>
  <si>
    <t>The consumer explicitly disputes incorrect credit-report items. This is a direct match to the inaccurate-information topic.</t>
  </si>
  <si>
    <t>B6</t>
  </si>
  <si>
    <t>1009216</t>
  </si>
  <si>
    <t>The consumer challenges credit-card interest charges and requests refunds. Card charges, balances and fees fit the topic closely.</t>
  </si>
  <si>
    <t>I have two credit cards with Capital One since and Have been charged {$63.00} on / / , for interest charges on a card ending in which has a balance of {$3000.00} and also i have been charged {$23.00} on / / for interest charges on ending in which has a balance of {$1500.00}. I called the customer service line - - - as their webs …</t>
  </si>
  <si>
    <t>Credit-card charges, balances and payments</t>
  </si>
  <si>
    <t>Online BERTopic cluster 6</t>
  </si>
  <si>
    <t>1029252</t>
  </si>
  <si>
    <t>A promised card balance-transfer offer was allegedly unavailable after account opening. The card/balance/fee theme fits broadly, but does not identify misleading advertising specifically.</t>
  </si>
  <si>
    <t>I applied for an American Express credit card through on / /20 with the intent to transfer my balance from another credit card. The introductory offer was 15 months at 0 % APR and a 3 % balance transfer fee. I received my card today and called American Express to do the balance transfer, however, they rudely informed me that the …</t>
  </si>
  <si>
    <t>1029487</t>
  </si>
  <si>
    <t>The consumer disputes a card-funded overdraft transfer and related fee, followed by closure problems. Card charges, payments and account handling fit the main dispute.</t>
  </si>
  <si>
    <t>On / /2018, when I signed into my BOA mobile banking account, I noticed a credit in the amt of {$100.00} posted to my checking account. Upon further investigation, I discovered that this credit came from my BOA credit card account. In addition to moving funds from my credit card account to my checking account, credit card servic …</t>
  </si>
  <si>
    <t>B7</t>
  </si>
  <si>
    <t>1015635</t>
  </si>
  <si>
    <t>An approved home-loan application was allegedly closed before a suitable condo was found. The mortgage/home-loan theme fits, although the issue is origination rather than payment or modification.</t>
  </si>
  <si>
    <t>I APPLIED FOR A LOAN FOR AND WAS APPROVED. I SENT EVERY PAPERWORK THEY ASKED FOR AND THEY SENT ME A APPROVAL LETTER. THEY THEN TOLD ME TO USE THEIR REALTOS AND BEGIN LOOKING FOR CONDOS. THEY KNEW THAT IT WOULD NOT BE RIGHT AWAY THAT I WOULD FIND ONE. THIS IS THE MESSAGE I RECENTLY GOT IN THE EMAIL. THIS IS THE MESSAGE I RECEIVED …</t>
  </si>
  <si>
    <t>Mortgages and home-loan servicing</t>
  </si>
  <si>
    <t>Online BERTopic cluster 7</t>
  </si>
  <si>
    <t>1030918</t>
  </si>
  <si>
    <t>The complaint concerns responsibility for a delinquent mortgage after divorce, reporting and a failed modification. Mortgage, home and payment terms fit directly.</t>
  </si>
  <si>
    <t>To whom it may concern, today is / / . Yesterday I received a dispute response from TransUnion which really has me baffled and concerned about my credit report and how to keep it fit for the economy and country that I live in, the United States of America. In / / , TransUnion added a delinquent mortgage account to my credit repo …</t>
  </si>
  <si>
    <t>1031658</t>
  </si>
  <si>
    <t>The mortgage company allegedly refuses mailed statements and a payment history despite inaccurate balances. This is a direct mortgage-servicing fit.</t>
  </si>
  <si>
    <t>The mortgage company that I currently have refuses to give me a statement in the mail concerning my loan payments. They state that they do not have to give me the statement in the mail. I have noticed on several occasions that the balance, and monthly statements are not accurate. I have requested 5 times that they start mailing  …</t>
  </si>
  <si>
    <t>B8</t>
  </si>
  <si>
    <t>104540</t>
  </si>
  <si>
    <t>The consumer asks to remove many fraudulent accounts after identity theft; education loans are only some listed entries. B8 captures loan vocabulary but misses the main identity-theft issue; B11 is a plausible alternative.</t>
  </si>
  <si>
    <t>, FL, DOB : / / SS # Dear Sir/Madam : I am contacting you about the compromising of my social security number. I am a victim of Identity Theft. I contacted the Federal Trade Commission and filed a complaint # and contacted the police department and obtained a police report # which both are attached. Please block and remove all i …</t>
  </si>
  <si>
    <t>Student loans and repayment servicing</t>
  </si>
  <si>
    <t>Online BERTopic cluster 8</t>
  </si>
  <si>
    <t>1063805</t>
  </si>
  <si>
    <t>The consumer struggles with student-loan payments after alleged misleading school promises and unsuccessful relief requests. The student-loan repayment theme fits directly.</t>
  </si>
  <si>
    <t>I attended 2016. Upon signing up, I was told there would be guaranteed internship and job placement after graduating. School was coming to an end and I had no internship. I was told that I was " on my own and had 1 week after school ended to find one ''. After my was completed and official graduation date has come, my student lo …</t>
  </si>
  <si>
    <t>1070207</t>
  </si>
  <si>
    <t>The consumer challenges Navient's handling of discharge information, forbearance and charges. The student-loan/servicing theme fits directly.</t>
  </si>
  <si>
    <t>I am and have been a veteran of the . Navient, the holders of my loan did not inform me I had the right to have it forgiven under the federal discharge program. When I informed them of the situation they up it under forbearance, then when that time was up they attempted to charge me, then extended it again for three months. I ju …</t>
  </si>
  <si>
    <t>B9</t>
  </si>
  <si>
    <t>1006919</t>
  </si>
  <si>
    <t>An unwanted mortgage forbearance allegedly stopped automatic payments and led to false delinquency reporting. Late-payment reporting is central to the complaint.</t>
  </si>
  <si>
    <t>Back in I contacted Dovenmuehle Mortgage to inquire about their forbearance options. after consideration, i declined however they placed my loan into forbearance based on my inquiry alone and ceased accepting automatic payments without my knowledge or consent. Thereafter my loan was reported as delinquent to the credit bureaus w …</t>
  </si>
  <si>
    <t>Late-payment and delinquency accuracy</t>
  </si>
  <si>
    <t>Online BERTopic cluster 9</t>
  </si>
  <si>
    <t>101877</t>
  </si>
  <si>
    <t>A mortgage allegedly was reported late despite a forbearance agreement and payoff. This directly matches the late-payment accuracy theme.</t>
  </si>
  <si>
    <t>I had a forbearance agreement with my former mortgage company, Specialized Loan Servicing , LLC, for the months of , and of 2020 with an expiration date of / /2020. The loan was paid off on / /2020 and therefore it was not a late payment. Yet, Specialized Loan Servicing, LLC informed that the payment was late when they know that …</t>
  </si>
  <si>
    <t>1044314</t>
  </si>
  <si>
    <t>The consumer says bills falsely show arrears despite on-time agreed payments. The late-payment/status dispute fits even though the text focuses on billing rather than bureau reporting.</t>
  </si>
  <si>
    <t>From the onset of Realtime Resolutions has provided false and inaccurate billing statements. Despite paying the agreed amount on time Realtime Resolutions continues to send me billing which reflects that I am behind on payments which actually I am not. This is more than frustrating as this is the third complaint filed to have an …</t>
  </si>
  <si>
    <t>N1</t>
  </si>
  <si>
    <t>778371</t>
  </si>
  <si>
    <t>The consumer explicitly says information on their report is inaccurate. This supports the basic reporting-accuracy theme, although the complaint is very brief.</t>
  </si>
  <si>
    <t>this company on my report is reporting inaccurately.</t>
  </si>
  <si>
    <t>Credit-report accuracy and disputes</t>
  </si>
  <si>
    <t>NMF topic 1</t>
  </si>
  <si>
    <t>The consumer disputes an old or incorrect bankruptcy entry that bureaus retained. This directly fits inaccurate credit reporting and unresolved disputes.</t>
  </si>
  <si>
    <t>1085744</t>
  </si>
  <si>
    <t>The consumer requests correction of names and addresses on credit reports after providing documents. The reporting-accuracy and removal terms fit directly.</t>
  </si>
  <si>
    <t>I was just looking over my credit report and found some addresses that appear to be incorrect. I have already requested this information to be deleted and I have submitted documents showing my current address on / /. I still see incorrect addresses listed ( which I would like removed please ) : Incorrect Addresses : There should …</t>
  </si>
  <si>
    <t>N10</t>
  </si>
  <si>
    <t>386482</t>
  </si>
  <si>
    <t>The consumer disputes a score drop after card balance transfers and allegedly missing payment updates. Both credit-card and credit-score terms fit the main issue.</t>
  </si>
  <si>
    <t>On / /2019 I was alerted to a negative change to my Transunion credit report resulting in a 91 point drop in my credit score. The negative report was that my balance on the Credit Card increased {$820.00}, but what Transunion is not considering is that I transferred that balance from my Credit Card. It was just a transfer, there …</t>
  </si>
  <si>
    <t>Credit cards, credit scores and reports</t>
  </si>
  <si>
    <t>NMF topic 10</t>
  </si>
  <si>
    <t>346231</t>
  </si>
  <si>
    <t>The consumer says disputes about fraudulent credit cards were disregarded. The broad credit-card/report theme fits, but it does not separate fraud from other card problems.</t>
  </si>
  <si>
    <t>I have a couple of fraudulent credit cards that Ive told , and to dispute but they disregarded me wish dealing with my credit file.</t>
  </si>
  <si>
    <t>671815</t>
  </si>
  <si>
    <t>The consumer cannot obtain an Equifax score online when needed for refinancing. The credit-score theme fits, although this is access/delivery rather than card billing.</t>
  </si>
  <si>
    <t>Today I accessed your site to get all three of my scores, for free. Equifax replied with " Onine Delivery Unavailable. '' # . I have to organize a bunch of documents to get my score, by snail mail? WHY? This is ANOTHER example of how the system is broken. I need the score TODAY to deal with an important refinancing decision. Ple …</t>
  </si>
  <si>
    <t>N11</t>
  </si>
  <si>
    <t>414284</t>
  </si>
  <si>
    <t>The consumer disputes late-payment entries during a payment-relief period. This is a direct match to late-payment reporting and verification.</t>
  </si>
  <si>
    <t>There were not payment required from until / /2020 due the virus ; however, is showing late payments for andXX/ /2020. I was never late and I am requesting METHOD OF VERIFICATION AND PRECEDURED USED FOR VERIFICATION. PER MY RIGHT.</t>
  </si>
  <si>
    <t>Late-payment accuracy</t>
  </si>
  <si>
    <t>NMF topic 11</t>
  </si>
  <si>
    <t>The statement explicitly denies the reported late payments. The late-payment topic fits directly, although no further details are supplied.</t>
  </si>
  <si>
    <t>TransUnion allegedly still shows a late status after a late-payment entry was removed. The topic fits this remaining late-payment reporting error.</t>
  </si>
  <si>
    <t>N12</t>
  </si>
  <si>
    <t>The complaint lists disputed balances and opening dates and demands removal of unverified accounts. Those account-field and validation terms closely match N12.</t>
  </si>
  <si>
    <t>Unverified accounts, balances and dates</t>
  </si>
  <si>
    <t>NMF topic 12</t>
  </si>
  <si>
    <t>641108</t>
  </si>
  <si>
    <t>The consumer requests verification and deletion of remaining disputed accounts, listing balances. Validation, balances and erroneous credit entries fit directly.</t>
  </si>
  <si>
    <t>I am , and I appreciate your taking the time to delete some of the information in my credit file ; however, there are still other accounts that need to be corrected and deleted. The 3 credit bureaus must verify these accounts under Sections 609 ( a ) ( 1 ) ( A ) and 611 ( a ) ( 1 ). ( A ). I am hoping that these disputed account …</t>
  </si>
  <si>
    <t>1147536</t>
  </si>
  <si>
    <t>The consumer attributes disputed accounts to identity theft and lists their balances and dates. N12 captures the challenged account records, but does not distinguish identity theft as the cause.</t>
  </si>
  <si>
    <t>This is my several request that I have been a victim of identity theft and that no one seems to care, that I want to dispute specific accounts in my credit file that do not belong to me, or that I have signed any agreement. The accounts I am challenging have nothing to do with any transactions I have done or authorized to gain p …</t>
  </si>
  <si>
    <t>N2</t>
  </si>
  <si>
    <t>The text repeats FCRA privacy and written-instruction claims. The legal-template vocabulary matches closely, and the wording is shared with other selected examples.</t>
  </si>
  <si>
    <t>NMF topic 2</t>
  </si>
  <si>
    <t>The same statutory privacy/consent template dominates the complaint. This fits the topic's language but adds little evidence of a distinct substantive issue.</t>
  </si>
  <si>
    <t>The complaint repeats the privacy and written-instruction letter used in the other examples. This is a strong template/style match.</t>
  </si>
  <si>
    <t>N3</t>
  </si>
  <si>
    <t>The consumer describes mortgage-payment difficulty, unsuccessful modification requests and foreclosure. Loan repayment and mortgage servicing fit directly.</t>
  </si>
  <si>
    <t>NMF topic 3</t>
  </si>
  <si>
    <t>1217758</t>
  </si>
  <si>
    <t>The consumer describes unaffordable Navient payments, growing balances and repeated forbearance advice. The broad loan/payment theme fits the central problem.</t>
  </si>
  <si>
    <t>I have a student loan that is serviced by Navient. I do n't make enough money to be able to afford to pay off my loans even with income based repayment plans as I just had a daughter. My loans have ballooned out of control because I was advised to place my loans in forbearance every time I called and asked what my options are. T …</t>
  </si>
  <si>
    <t>955326</t>
  </si>
  <si>
    <t>The consumer challenges a mortgage refinance payoff estimate and delayed excess-fund return. The loan/payment theme fits broadly, but does not specifically identify the closing/refund issue.</t>
  </si>
  <si>
    <t>We did a refinance with Wells Fargo. The closing was / / . At the closing they said that it is difficult to calculate the payoff of the old mortgage and that we were getting {$3000.00} more than we needed. I think its a scam. They have to get closer than that. Now it is / / and we are still waiting for our . How many people per  …</t>
  </si>
  <si>
    <t>N4</t>
  </si>
  <si>
    <t>A collector allegedly ignores a verification request while continuing calls and collection. Debt collection and validation fit directly.</t>
  </si>
  <si>
    <t>NMF topic 4</t>
  </si>
  <si>
    <t>474841</t>
  </si>
  <si>
    <t>The consumer disputes responsibility for an insurance debt sent to collection and asks for proof. The topic captures the collection and debt-validation issue.</t>
  </si>
  <si>
    <t>I have received a collection letter from Caine &amp; Weiner a debt in the amount of {$600.00} to . I have NEVER requested insurance from ; however, this policy covered a car which belonged to my son on which I was a co-borrower. IF I am responsible for this debt why did not contact me BEFORE turning it over for collection!? This see …</t>
  </si>
  <si>
    <t>528011</t>
  </si>
  <si>
    <t>The consumer requested a debt-validation letter and says the collector refused. This directly matches the topic's validation and collector terms.</t>
  </si>
  <si>
    <t>I called and requested a debt validation letter and area manager stated that he can not provide a debt validation letter and that I must obtain the information from the courts.</t>
  </si>
  <si>
    <t>N5</t>
  </si>
  <si>
    <t>The consumer says a fraudulent account was opened in their name. Account opening and ownership/fraud match the topic directly.</t>
  </si>
  <si>
    <t>Fraudulent account opening and ownership</t>
  </si>
  <si>
    <t>NMF topic 5</t>
  </si>
  <si>
    <t>The supplied text is only 'Account number ending in .'. It states no complaint issue and cannot support a topic-fit judgement.</t>
  </si>
  <si>
    <t>The consumer says someone used information to obtain several accounts. This supports the unauthorized-account/fraud theme, though details are sparse.</t>
  </si>
  <si>
    <t>N6</t>
  </si>
  <si>
    <t>The consumer explicitly reports being a victim of identity theft. The basic topic fits, but this one-sentence example cannot demonstrate finer distinctions.</t>
  </si>
  <si>
    <t>Identity theft and fraudulent entries</t>
  </si>
  <si>
    <t>NMF topic 6</t>
  </si>
  <si>
    <t>The statement explicitly identifies identity theft. It fits the basic theme, although no particular account or consequence is described.</t>
  </si>
  <si>
    <t>890197</t>
  </si>
  <si>
    <t>The consumer reports identity theft and wants fraudulent accounts removed. The identity-theft and fraudulent-entry terms fit directly.</t>
  </si>
  <si>
    <t>I am a victim of identity theft. , ) have fraudulent accounts on my profile that need to be removed immediately.</t>
  </si>
  <si>
    <t>N7</t>
  </si>
  <si>
    <t>1191917</t>
  </si>
  <si>
    <t>The short text explicitly identifies incorrect credit inquiries. That is enough to match the inquiry theme, although the redacted listing supplies little context.</t>
  </si>
  <si>
    <t>Incorrect Credit Inquiries / / / / / / / / / / XXXXDEpt of Ed</t>
  </si>
  <si>
    <t>Incorrect or unauthorized credit inquiries</t>
  </si>
  <si>
    <t>NMF topic 7</t>
  </si>
  <si>
    <t>838965</t>
  </si>
  <si>
    <t>The consumer says promised soft inquiries became hard inquiries without consent and hurt their score. This is a direct match to unauthorized hard inquiries.</t>
  </si>
  <si>
    <t>I was told by 4 different companies that the inquiry they were pulling would be a soft inquiry which were all done in this the last month yet each Company did a hard inquiry without my consent. There websites said that the inquiry would not affect my credit yet they are all on my credit report and have impacted my score substant …</t>
  </si>
  <si>
    <t>The consumer reports unfamiliar hard inquiries on their credit report. This directly matches the topic's distinctive inquiry terms.</t>
  </si>
  <si>
    <t>N8</t>
  </si>
  <si>
    <t>914292</t>
  </si>
  <si>
    <t>The complaint demands deletion after an unanswered dispute letter and a stated deadline. The topic fits this delayed-response/removal template, which resembles the other selected examples.</t>
  </si>
  <si>
    <t>On / /2020 I sent a letter regarding inaccurate and unknown things on my credit report, to this day over 60 days later I have not received a response yet. I feel like I am being taken advantage of and being ignored of my disputes. Section 611 ( a ) it is plainly stated that a failure to investigate these items within 30 days giv …</t>
  </si>
  <si>
    <t>Unanswered disputes and deletion deadlines</t>
  </si>
  <si>
    <t>NMF topic 8</t>
  </si>
  <si>
    <t>1218342</t>
  </si>
  <si>
    <t>The text repeats the unanswered-dispute and deadline-based deletion template. The wording fits, but near-duplicate examples limit evidence of topic variety.</t>
  </si>
  <si>
    <t>On / /2022, I sent a letter regarding inaccurate and unknown things on my credit report to this day over 30 days later I have not received a response yet. I feel like I am taken advantage of and being ignored for my disputes. Section 611 ( a ), it is plainly stated that failure to investigate these items within 30 days gives a r …</t>
  </si>
  <si>
    <t>1258086</t>
  </si>
  <si>
    <t>The complaint uses the same delayed-response/deletion template as the other N8 examples. The topic captures this wording pattern closely.</t>
  </si>
  <si>
    <t>N9</t>
  </si>
  <si>
    <t>1197981</t>
  </si>
  <si>
    <t>The consumer alleges unauthorized use of personal information and lack of reporting consent. The personal-information/consent terms fit, with wording repeated in the other examples.</t>
  </si>
  <si>
    <t>My name is this complaint is not made in error neither is it being made by a third party.I declare under penalty of perjury I am alleging that a person or company- without my authorization- from unauthorized use of my social security number and card used my personal identifying information to apply for goods, services, or money  …</t>
  </si>
  <si>
    <t>Personal-information misuse and consent</t>
  </si>
  <si>
    <t>NMF topic 9</t>
  </si>
  <si>
    <t>346602</t>
  </si>
  <si>
    <t>The same declaration about unauthorized use of personal information and no consent dominates the text. It fits the topic as a repeated template.</t>
  </si>
  <si>
    <t>My name this complaint is not made in error neither is it being made by a third party.I declare under penalty of perjury I am alleging that a person or company- without my authorization- from unauthorized use of my social security number and card used my personal identifying information to apply for goods, services, or money ; a …</t>
  </si>
  <si>
    <t>617814</t>
  </si>
  <si>
    <t>The complaint repeats the personal-information misuse and reporting-consent declaration. The language fits N9, but the three examples offer little independent variety.</t>
  </si>
  <si>
    <t>Topic meanings and limitations</t>
  </si>
  <si>
    <t>Topic IDs are local to each model. LSA labels are signed component poles. Review counts refer only to selected examples; held-out counts refer to the 1,000 assignment rows.</t>
  </si>
  <si>
    <t>Interpreted theme</t>
  </si>
  <si>
    <t>Original top words</t>
  </si>
  <si>
    <t>Interpretation note</t>
  </si>
  <si>
    <t>Held-out count</t>
  </si>
  <si>
    <t>account, credit, report, not, section, information, consumer, reporting, s, state, c, u</t>
  </si>
  <si>
    <t>Broad component; credit-reporting vocabulary occurs in many different complaint types.</t>
  </si>
  <si>
    <t>C1-</t>
  </si>
  <si>
    <t>Uninterpretable concatenated tokens</t>
  </si>
  <si>
    <t>xxxxxxxxcontinuestofurnishinquiresonmycreditreport, xxxxxxxxaccountopeninmynameforxxxxdollars, youarerequiredtocomply, yourpaymentduedatewillnothaveanyalertwhatsoeverthatitislate, synchronydoesnotsendanynotificationsaboutpaymentduedates, xxxxxxxxxxxxamountxxxxxxxxdateopenedxxxx, xxxxandthereptriedtotransfermetothedepartmentthatsetupthepaymentandthecalldropped, shedidntmentionanythingaboutapaymentbeingscheduledforxxxxbutnowafullpaymentjustcameoutofmyaccount, whenwillthisloanbepaidoff, whereismymoneygoingandiwantthatxx, whatismybalance, sitemanager</t>
  </si>
  <si>
    <t>Keywords appear to include words joined together. No selected examples or held-out assignments for this pole.</t>
  </si>
  <si>
    <t>Component 1, - pole</t>
  </si>
  <si>
    <t>section, c, u, right, reporting, s, consumer, privacy, state, furnish, violate, instruction</t>
  </si>
  <si>
    <t>Primarily repeated statutory wording; a style/template topic.</t>
  </si>
  <si>
    <t>C2-</t>
  </si>
  <si>
    <t>Reporting and loan/payment disputes (mixed)</t>
  </si>
  <si>
    <t>report, payment, not, credit, pay, loan, company, receive, send, tell, debt, remove</t>
  </si>
  <si>
    <t>Mixed negative pole; no selected examples or held-out assignments.</t>
  </si>
  <si>
    <t>Component 2, - pole</t>
  </si>
  <si>
    <t>report, credit, information, item, inquiry, remove, theft, identity, delete, inaccurate, bureau, file</t>
  </si>
  <si>
    <t>Reporting errors and fraudulent entries overlap in this component.</t>
  </si>
  <si>
    <t>payment, loan, pay, bank, tell, card, make, late, mortgage, say, fee, charge</t>
  </si>
  <si>
    <t>Broad product scope, including mortgages and student loans.</t>
  </si>
  <si>
    <t>debt, collection, letter, send, company, information, owe, consumer, validation, receive, request, provide</t>
  </si>
  <si>
    <t>Clear collection and proof-of-debt vocabulary.</t>
  </si>
  <si>
    <t>account, open, inquiry, card, bank, theft, identity, fraudulent, balance, late, close, credit</t>
  </si>
  <si>
    <t>Fraud, balances and account-management issues overlap.</t>
  </si>
  <si>
    <t>account, debt, theft, identity, collection, open, victim, number, bank, fraudulent, money, owe</t>
  </si>
  <si>
    <t>Identity theft and debt ownership overlap.</t>
  </si>
  <si>
    <t>payment, late, loan, inquiry, report, credit, day, inaccurate, mortgage, item, month, make</t>
  </si>
  <si>
    <t>Some broader loan/inquiry terms remain.</t>
  </si>
  <si>
    <t>C6+</t>
  </si>
  <si>
    <t>Account balances and reporting disputes</t>
  </si>
  <si>
    <t>account, late, report, dispute, collection, debt, bureau, balance, inaccurate, letter, credit, day</t>
  </si>
  <si>
    <t>Mixed positive pole; no selected examples or held-out assignments.</t>
  </si>
  <si>
    <t>Component 6, + pole</t>
  </si>
  <si>
    <t>inquiry, theft, identity, victim, consumer, loan, block, hard, authorize, unauthorized, card, make</t>
  </si>
  <si>
    <t>Includes both fraud and inquiry-blocking complaints.</t>
  </si>
  <si>
    <t>debt, collection, not, company, claim, provide, request, letter, state, receive, owe, send</t>
  </si>
  <si>
    <t>Clear theme; one selected text lacks explicit debt context.</t>
  </si>
  <si>
    <t>credit, report, account, not, remove, score, bureau, dispute, information, no, transunion, company</t>
  </si>
  <si>
    <t>Broad theme overlapping other credit-report topics.</t>
  </si>
  <si>
    <t>payment, pay, card, charge, not, make, credit, late, fee, month, account, receive</t>
  </si>
  <si>
    <t>A card-limit decision only partly fits this payment-focused theme.</t>
  </si>
  <si>
    <t>credit, report, inquiry, not, identity, theft, account, fraudulent, information, card, fraud, remove</t>
  </si>
  <si>
    <t>Fraudulent accounts and inquiries share this topic.</t>
  </si>
  <si>
    <t>not, tell, say, time, ask, send, pay, try, phone, company, no, know</t>
  </si>
  <si>
    <t>Generic speech/contact verbs; weak specificity.</t>
  </si>
  <si>
    <t>account, balance, date, open, creditor, not, number, close, payment, charge, credit, status</t>
  </si>
  <si>
    <t>Often a structured field-list style; one example contains no complaint issue.</t>
  </si>
  <si>
    <t>insurance, property, tax, sale, financial, home, s, vehicle, title, document, sell, mortgage</t>
  </si>
  <si>
    <t>Broad theme covering several financial products.</t>
  </si>
  <si>
    <t>account, bank, not, check, money, receive, fund, day, no, email, chase, tell</t>
  </si>
  <si>
    <t>Includes closures, deposits, reversals and access.</t>
  </si>
  <si>
    <t>report, credit, information, account, not, dispute, item, file, delete, letter, remove, bureau</t>
  </si>
  <si>
    <t>Clear theme, but overlaps T2 and other reporting topics.</t>
  </si>
  <si>
    <t>loan, payment, mortgage, not, make, pay, home, month, time, request, year, modification</t>
  </si>
  <si>
    <t>Mortgage emphasis; selected student-loan repayment example also fits broadly.</t>
  </si>
  <si>
    <t>consumer, section, reporting, s, c, account, u, right, agency, information, state, not</t>
  </si>
  <si>
    <t>Mostly legal-template language.</t>
  </si>
  <si>
    <t>balance, paypal, record, no, not, owe, complaint, ca, file, item, tx, inquire</t>
  </si>
  <si>
    <t>PayPal/location/generic-record terms do not yield a stable issue label; selected texts are identity-theft letters.</t>
  </si>
  <si>
    <t>inquiry, credit, report, not, equifax, score, hard, information, remove, date, experian, company</t>
  </si>
  <si>
    <t>Some selected complaints concern other report errors, rather than inquiries.</t>
  </si>
  <si>
    <t>not, account, number, phone, information, company, no, address, time, send, receive, ask</t>
  </si>
  <si>
    <t>Insufficiently specific keywords for a confident issue label.</t>
  </si>
  <si>
    <t>consumer, information, report, credit, identity, theft, not, account, reporting, block, agency, file</t>
  </si>
  <si>
    <t>Broad rights/blocking theme; overlaps other fraud and reporting clusters.</t>
  </si>
  <si>
    <t>debt, collection, not, credit, company, owe, report, pay, account, receive, send, letter</t>
  </si>
  <si>
    <t>Clear collection vocabulary.</t>
  </si>
  <si>
    <t>section, c, u, right, reporting, s, consumer, state, privacy, violate, furnish, account</t>
  </si>
  <si>
    <t>Mostly statutory wording and template style.</t>
  </si>
  <si>
    <t>report, credit, information, account, dispute, not, bureau, letter, inaccurate, reporting, item, day</t>
  </si>
  <si>
    <t>Broad reporting-dispute theme.</t>
  </si>
  <si>
    <t>card, charge, not, credit, account, fee, pay, payment, balance, receive, bank, tell</t>
  </si>
  <si>
    <t>Broad card theme with fees and billing.</t>
  </si>
  <si>
    <t>mortgage, loan, payment, not, home, pay, tell, modification, receive, time, property, make</t>
  </si>
  <si>
    <t>Also covers home-loan origination and responsibility disputes.</t>
  </si>
  <si>
    <t>loan, payment, pay, not, student, make, month, navient, time, tell, year, rate</t>
  </si>
  <si>
    <t>One selected fraud complaint lists loans but is mainly about identity theft.</t>
  </si>
  <si>
    <t>late, payment, report, credit, account, day, not, pay, make, month, time, date</t>
  </si>
  <si>
    <t>Includes both credit-report and billing-status disputes.</t>
  </si>
  <si>
    <t>bank, account, not, money, check, tell, fund, deposit, say, transaction, no, transfer</t>
  </si>
  <si>
    <t>One card-billing complaint only partly fits; privacy issue is a broad fit.</t>
  </si>
  <si>
    <t>account, report, credit, remove, identity, not, theft, delete, item, open, information, fraudulent</t>
  </si>
  <si>
    <t>Includes accounts and disputed bankruptcy records.</t>
  </si>
  <si>
    <t>report, account, credit, not, remove, information, dispute, bureau, reporting, file, inaccurate, equifax</t>
  </si>
  <si>
    <t>Broad reporting theme.</t>
  </si>
  <si>
    <t>section, c, u, right, s, reporting, consumer, state, privacy, furnish, violate, instruction</t>
  </si>
  <si>
    <t>Near-duplicate statutory letters dominate selected examples.</t>
  </si>
  <si>
    <t>payment, loan, pay, tell, mortgage, not, bank, make, month, say, time, check</t>
  </si>
  <si>
    <t>Broad mortgage and student-loan theme.</t>
  </si>
  <si>
    <t>debt, collection, letter, company, owe, validation, send, collect, request, collector, receive, provide</t>
  </si>
  <si>
    <t>Clear proof-of-debt and collection vocabulary.</t>
  </si>
  <si>
    <t>account, open, bank, number, close, fraudulent, collection, money, fraud, identity, debt, theft</t>
  </si>
  <si>
    <t>One selected entry contains only an account-number fragment.</t>
  </si>
  <si>
    <t>theft, identity, victim, block, consumer, result, information, inquiry, item, fraudulent, file, trade</t>
  </si>
  <si>
    <t>Two selected texts state only that identity theft occurred.</t>
  </si>
  <si>
    <t>inquiry, credit, hard, authorize, unauthorized, report, remove, company, date, not, transunion, pull</t>
  </si>
  <si>
    <t>Clear inquiry theme.</t>
  </si>
  <si>
    <t>day, item, immediately, delete, letter, response, dispute, receive, regard, ignore, send, unknown</t>
  </si>
  <si>
    <t>The selected examples repeat a complaint-letter template.</t>
  </si>
  <si>
    <t>information, consumer, card, use, personal, consent, usc, party, report, security, complaint, person</t>
  </si>
  <si>
    <t>Near-duplicate declarations dominate the selected examples.</t>
  </si>
  <si>
    <t>credit, card, score, report, n, pay, charge, item, remove, never, debt, collection</t>
  </si>
  <si>
    <t>Broad topic spanning card fraud, scoring and score access.</t>
  </si>
  <si>
    <t>late, payment, day, date, usc, statement, charge, fee, creditor, balance, b, make</t>
  </si>
  <si>
    <t>Clear late-payment theme.</t>
  </si>
  <si>
    <t>balance, bureau, credit, date, validate, erroneous, law, item, original, open, unverified, owe</t>
  </si>
  <si>
    <t>Often captures field-list structure rather than the underlying cause.</t>
  </si>
  <si>
    <t>Full supplied complaint texts</t>
  </si>
  <si>
    <t>118 complaint IDs • Full supplied wording, including redactions, spelling and legal assertions, is preserved.</t>
  </si>
  <si>
    <t>Long texts are split into consecutive parts for readability. Join the text parts in order with no added characters to reconstruct a complaint. Legal assertions are not checked by this review.</t>
  </si>
  <si>
    <t>Part</t>
  </si>
  <si>
    <t>Parts</t>
  </si>
  <si>
    <t>Complaint text — continuation parts preserve original spacing</t>
  </si>
  <si>
    <t>Review row IDs</t>
  </si>
  <si>
    <t>Hi I am submitting this this is not any influence and this is not a third party. has low and unfair credit number for me in their report. I have complained more than 88 times nonstop this is exhausting im they are not putting these fraudulent inquiries in dispute and accounts and they still have not deleted them either I am depressed. The problem has not been resolved. my fico has me at a credit score over 709 has me at a score around 590. That is a huge difference. paints me as a . my fico say I have good credit. What the heck is going on here. i have almost no debt and my identity was stolen causing my score to drop n i made this clear for 90 days straight with i spoke to a representative agent name from the fraud department I prefer to speak to a us rept but they refused they had me on mute for 4 hours which was hurtful I have a</t>
  </si>
  <si>
    <t>1</t>
  </si>
  <si>
    <t>perfect repayment record. I have very low credit utilization. I have one negative credit items outstanding debt now that is not mines. I have modest but ok income. Social Security. Something is wrong with . I do not understand why they are abusing consumers they do not help you at all This was a first step towards attempting resolution. They kept lying telling me they disputed n its not reporting but it keep reporting this inaccurate information without my authorization. They refused or were unable to verify n remove the inquiries and negative account its been 60days n they record the calls n admitted they had my police report ftc and affidavit That was after attempting to contact more than 88 times in the last 120 days. is an abusive company. They are supposed to be protecting consumers. They need to be reigned in. they are causing me</t>
  </si>
  <si>
    <t>severe and stopping me from getting this job offer n now im homeless n cant provide to my PLEASE HELP ME PLEASE im now.with no help they keep ignoring me after I keep telling them repeatedly they are hurting my character of my name they will not respond and it not even in investigation with and me and my son are bout to be homeless please help I cant live like this The credit bureaus never did a proper " investigation '' according to the FCRA. Section 1681a of the Fair Credit Reporting Act defines an investigative consumer report as a consumer report or portion thereof in which information on a consumer 's character, general reputation, personal characteristics, or mode of living is obtained through personal interviews with neighbors, friends, or associates of the consumer reported on or with others with whom he is acquainted or who may</t>
  </si>
  <si>
    <t>have knowledge concerning any such items of information. They did not do this. Also they have violated my rights even more. The credit bureaus stated my account was properly investigated but how is that possible if I never gave these creditors WRITTEN CONSENT OR AUTHORIZATION TO USE MY PERSONAL INFORMATION TO OPEN OR CLOSE ANY ACCOUNT. THESE BALANCES IS IN ACCURATE, PAYMENT STATUS AND HISTORY IN ACCURATE, LAST ACTIVITY DATE IS IN ACCURATE, ALL INFORMATION REGARDING THESE NEGATIVE INSTALLMENT LOAN IS INACCURATE.Someone is using my personal information pretending to be me to obtain credit. I do not know anything about this fraudulent account. I do not have any closed OR OPEN accounts with THESE LISTED CREDITORS BELOW WITH MY DOCUMENTATION. Also they have violated my rights even more In accordance with the Fair Credit Reporting Everything</t>
  </si>
  <si>
    <t>has to be 100 % accurate on my credit report. The credit bureaus stated it was properly investigated but how is that even possible if THESE CREDITORS DID NOT GET ANY WRITTEN SIGNATURE, CONSENT OR AUTHORIZATION FROM ME. This account is fraud and does not belong to me, this is in accurate, I have never opened or closed any account with THESE CREDITORS I ask for documents with signature or authorization, they did not submit my request.This grounds for removal and deletion immediately. I never gave THESE CREDITORS ANY WRITTEN CONSENT OR AUTHORIZATION TO USE MY PERSONAL INFORMATION TO OPEN THIS ACCOUNT. THIS IS FRAUD. I have ASK FOR SIGNED DOCUMENTS WITH MY SIGNATURE GIVING WRITTEN CONSENT TO OPEN THIS FRAUDULENT CREDIT ACCOUNTS. SOMEONE USE MY PERSONAL INFORMATION PRETENDING TO BE ME WITHOUT MY AUTHORIZATION OR CONSENT TO OPEN OR CLOSE ANY</t>
  </si>
  <si>
    <t>CREDIT ACCOUNT WITH THESE CREDITORS BELOW They also violated the law because according to 15 U.S.C 1681 section 602 A. states i have the rights to privacy 15 U.S.C 1681 section 604 section 2 : it also states a consumer reporting agency can not furnish a account without my written consent. In accordance with the Fair Credit Reporting act WITH THESE CREDITORS BELOW EQUIFAX AND AND has violated my rights. 15 U.S.C 1681 section 602 A. States I have the right to privacy. 15 U.S.C 1681 Section 604 A Section 2 : It also states a consumer reporting agency can not furnish a account without my written instructions 15 U.S.C 1666B : A creditor may not treat a payment on a credit card account under an open end consumer credit plan as late for any purpose SECTION 604 15 U.S CODE 1681 B THE LAW STATES THAT NO ONE CAN FURNISH INFORMATION ON MY CREDIT</t>
  </si>
  <si>
    <t>REPORT WITHOUT MY CONSENT. SECTION 605 A 15 U.S CODE 1681 C-1 WITH NO WRITTEN CONSENT OR INSTRUCTIONS THAT WOULD IN FACT BE IDENTITY THEFT SECTION 605 B 15 U.S CODE 1681C A copy of section 605B of the Fair Credit Reporting Act, whichrequires you to block the.fraudulent information on my credit report resulting from identity theft within four business days and to promptly notify the furnisher ( s ) of that information. Please block this information from my credit report, pursuant to section 605B of the Fair Credit Reporting Act, and send the required notifications to all furnishers of thisinformation.</t>
  </si>
  <si>
    <t>I am completely appalled and disgusted at the fact that your company is willing reporting unverifiable and inaccurate information on my credit report even after the alleged account was disputed multiple times. There is a alleged charged off account that has been reporting inaccurately since the time the alleged account was charged off. That you have been reporting that the alleged account was charged off in of , and as we all know charged off accounts must show a CLOSED status seeing as you never sold the account to a collection agency. For 2 yrs this alleged account was showing a charged off CLOSED status up until / / where for some reason you decided to report that the alleged account was OPEN causing my credit score to drop 145 points because I " MISSED '' a payment in the month of / / on a CHARGED OFF ACCOUNT that is supposed to be</t>
  </si>
  <si>
    <t>2</t>
  </si>
  <si>
    <t>showing a CLOSED status but for some reason is now showing a OPEN status on my credit report and only my credit report. I disputed this account on and on / / the dispute immediately showed they had closed the account back but it has not updated on my credit report But Left me with a MISSED Payment on a supposed to be closed charge off account for the month of / / .Since / / you have been reporting inaccurate information for this account, inaccurate being the balances across all bureaus that you seem to switch every 2 months by adding or decreasing {$860.00} causing my credit score to fluctuate damaging my ability to use my credit, or the balance history which is always been incorrect. or even the last payment date that is incorrect as of now on all 3 major bureaus. There are tons of wrong information across all bureaus on this account,</t>
  </si>
  <si>
    <t>but for some strange reason you keep reporting that the information is indeed correct even after my disputes which you knowingly violate 15 U.S. Code 1681s2 a ( 1 ) ( A ) and 15 U.S. Code 1681s2 B.as well as violating numerous of other federal laws. you willfully report that the information is correct even when you know it is not even after being told it is not correct month after month which is a federal violation. And because I know this account is non complaint to Metro 2 formatting as well, I am evoking my right as a consumer and demanding you remove this charged off account and the missed payment for / / not update remove from my credit reports on all bureaus and pay the invoice that I have attached with your violations in pursuant to the FCRA. if my demands are not met I will have no choice but to sue for your constant and negligent</t>
  </si>
  <si>
    <t>inaccurate reporting and FCRA and fdcpa violations, as well as your violation for not being Metro 2 complaint with this account and fraud for reporting information you know is not mine or correct. I have attached documents as evidence showing your incorrect reporting on all my credit reports as well as the missed payment for / / on a Supposed to be closed but currently open status charge off account that has further damaged my credit score. you will be receiving formal letters in the mail via certified mail with my invoice these documents attached and my dispute. I will also be leaving a terrible review on the and attaching a copy of this complaint to my attorney generals office.</t>
  </si>
  <si>
    <t>The credit bureaus stated my account was properly investigated but how is that possible if the open date is inaccurate, the date last active is inaccurate, and date last reported is not accurate. This the ground for removal they also violated my rights under 15 U.S.C. 1681 section 602 A. states I have the right to privacy. 15 U.S.C. 1681 section 604 A section 2 : It also states a consumer agency can not furnish a account without my written instructions 1. # 2. # . # . . . , ( Original Creditor : CO AZ ) # # Duplicate Account Overall, according to the 15 U.S.C. 1681 n ( a ) ( 1 ) any actual damages by the consumer as a result of the failure or damages of not less than {$100.00} and not more than {$1000.00}. I want one thousand per violation or to remove the accounts. Please adhere to this : Improper investigation and/or no investigation</t>
  </si>
  <si>
    <t>3</t>
  </si>
  <si>
    <t>conducted as prescribed by the following terms of investigation. 1681 ( a ) ( e ) ( e ) The term investigative consumer report means a consumer report or portion thereof in which information on a consumers character, general reputation, personal characteristics, or mode of living is obtained through personal interviews with neighbors, friends, or associates of the consumer reported on or with others with whom he is acquainted or who may have knowledge concerning any such items of information. However, such information shall not include specific factual information on a consumers credit record obtained directly from a creditor of the consumer or from a consumer reporting agency when such information was obtained directly from a creditor of the consumer or from the consumer. All entities involved have stated several times that the account (</t>
  </si>
  <si>
    <t>s ) have been verified, validated and investigated. Yet based on the credit reports, all data must be 100 percent accurate or be removed. The credit reports differ and has information between all 3 reports, that are completely different.</t>
  </si>
  <si>
    <t>4, 112</t>
  </si>
  <si>
    <t>5, 113</t>
  </si>
  <si>
    <t>6, 114</t>
  </si>
  <si>
    <t>7, 87</t>
  </si>
  <si>
    <t>I am writing to delete the following information in my file. The items I need to delete are listed in the report. I am a victim of identity theft. I ask that the item be deleted to correct my credit report. I reported the theft of my identity to the federal trade commission and I also have enclosed copies of the federal trade commissions identity theft affidavit. Please delete the items as soon as possible.</t>
  </si>
  <si>
    <t>8</t>
  </si>
  <si>
    <t>" I am writing to delete the following information in my file. The items I need deleted are listed in the report. I am a victim of identity theft and did not make the charge. I ask that the items be deleted to correct my credit report. I reported the theft of my identity to the Federal Trade Commission and I also have enclosed copies of the Federal Trade Commissions Identity Theft Affidavit. Please delete the items as soon as possible.</t>
  </si>
  <si>
    <t>9</t>
  </si>
  <si>
    <t>My complaint is about , formerly named , also part of Shellpoint Mortgage Servicing. On my / / statement, I was told to pay a partial payment of my usual monthly mortgage. My usual payment is {$1400.00} per month. My statement said to pay {$370.00}, as a {$1000.00} payment had already been applied. I paid {$400.00} for my statement. I soon received a letter informing me I did not pay my balance. By / / , I received a letter saying I owed {$2500.00} because I did not pay the whole balance due in . So I had to take a loan from my parents to cover this cost. I paid this total amount then on / / . When I called and asked about the discrepancy in the statement, they were not sure why the problem happened and they would get back to me. They did not. When I called back around / / , the service agents could not explain why there was a {$1000.00}</t>
  </si>
  <si>
    <t>10</t>
  </si>
  <si>
    <t>payment made to my account, and later retracted. When this payment was retracted that caused my partial payment to not meet the monthly cost and I was sent a failure to pay notice. At this point told me it was going to be ok. But what happened to the {$1000.00} partial payment applied in ? After I had already paid the {$2500.00} for , I called again to to understand what happened. They replied with " we do not know ''. I called again today, / / to find out what they discovered happened to the missing {$1000.00} from my statement. They told me they did not know, they also said they might have applied someone else 's payment to my mortgage. They were not sure of their own book keeping. I was charged a {$56.00} fee. My credit also took a hit, as I was considered delinquent for paying the amount billed me. 's poor book keeping caused me I</t>
  </si>
  <si>
    <t>injustice to my credit score, when I am trying to finance a new car, and now my monthly payments might go up {$100.00} a month. mortgage company made multiple mistakes, charged me a late fee, messed up my credit, and their resolution to their mistake is " I apologize. '' Meanwhile, I am the one financially burdened by their mistake. Please help.</t>
  </si>
  <si>
    <t>A student loan was taken out in of for an add on degree. -Graduated in summer -went back to school in Spring -graduated in / / The total amount borrowed was {$34000.00} According to my records/bank statements and payment history, we have paid {$64000.00} towards the loan. {$17000.00} was forgiven with teacher loan forgiveness program. Payments have been made on the original loans more then 10 years. {$6800.00} is still owed. Loan has been with 3-4 different loan companies / / -first call with concerns / / -requested an ombudsman which was not very helpful. He was able to show that a {$6000.00} payment that was supposed to be credited was charged interest for over 10 years. Every time they sent a bill we paid it. Beginning in it was automatically drafted. We would get notified when the amounts changed but were still automatically drafted.</t>
  </si>
  <si>
    <t>11</t>
  </si>
  <si>
    <t>/ / submitted a review-was not notified of results Every time we submitted something it would be review. Takes anywhere between 90 days -2 years. Submitted loan forgiveness application / / , They said we only had 27 payments on loans that were taken out in -if that were the case we would have been in collections. Resubmitted for review. Resubmitted application in / / . / / was denied because they said they needed more info. When talking to # she could see all the info they said they were missing so she resubmitted it. / / was told to submit another application to look at loan payments. / / said the loan showed interest was added because it was not paid off in 10 years. / / , -heard from PSLF person. Payments were still wrong. I started going date by date. He had missing dates. I was told to upload bank statements from which i did.</t>
  </si>
  <si>
    <t>Requested payment history again. Payment history showed that payments I submitted bank statements for. / / , -called to get update to see if payments were applied. I was told it was still in review and there was not a time line. It could take up to 2 years. I have the records for all the payments. This loan should be paid off by now. One of the loan companies has had cases brought against them for not applying loan payments. This is ridiculous that these reviews take this long.</t>
  </si>
  <si>
    <t>The service provider is Bayview loan services. They purchased my mortgage from in / / . In / / they sent me a welcome letter and an invoice in the amounts of {$5700.00}. My monthly payment on my mortgage has always been {$1600.00} per month ( I have a fixed 30 years mortgage ). All of a sudden I was received this large bill for a combination of missed payment, escrow shortage, and a mortgage insurance. I have never missed a payment with my prior mortgage servicer, I do n't pay insurance as it 's a condominium and I have a master insurance policy through the HOA. I have faxed evidence of coverage and receipt of monthly payment to prove to the new servicer that I have never missed a mortgage payment. Every time I call, I always talk to a different person, and I have to repeat everything all over to everyone I talk to .... Since / / , I have</t>
  </si>
  <si>
    <t>12</t>
  </si>
  <si>
    <t>talked to them countless times ... no one could help me and justify how they come up with {$5700.00}. After so many phone calls and arguments ... .they finally told me that there is a shortage in my escrow and added about {$80.00} to my monthly payment making the monthly total {$1700.00}. However, I get non-stop phone calls .... They are now claiming that I have missed a / / mortgage payment. I have told numerous people at Bayview that I have paid the / / payment to . I have even faxed evidence that I have made the / / payment ( four times ). Still I get a phone call a few times a week saying that I am late with my mortgage payment. This has been a very stressful situation because it seems that NO one is willing to help me. I have talk to different representative from Bayview, and they all tell me different story as why they keep calling</t>
  </si>
  <si>
    <t>me for a missed payment. I have tried on my own, I have talked to different so called supervisors from their escalation department ... ..and to this day they keep harassing me with phone calls ( I have told them multiple times not to call me again, to stop harassing me, just today, I have received three phone calls from them ) ... I am working with a gentleman called at who has been trying to help me ... .but nothing has been done yet. Please help!!</t>
  </si>
  <si>
    <t>In of 2019 i sent a request to the company Innovative Recovery to get information on a claim for a debt owed. I sent certified letter between and of 2019. Company failed to send any information regarding this debt. I filled dispute through , , and in which the company still failed to send any verification of debt. In of 2019 the company sent a letter of the amount owed but still not a single copy of proof of the debt. I contact several companies i may have done business with that might have a debt of this amount owed. In which i failed to receive anything showing this balance. I have contact the company and advised of the legal lays and request that they have failed to meet the federal guidelines regarding debt collection and verification. I have sent over several copies of legal documents requesting to remove this debt from my credit</t>
  </si>
  <si>
    <t>13</t>
  </si>
  <si>
    <t>report for failing to prove the debt, for failing to send a copy of any bill relating to this debt. as well as the claims to take legal action against me, i have advised that will out any verification or bill i will not make any sort of payment or payment terms. I have sent 2 follow up letter by certified mail and company has refused to send any communication regarding the debt. While the credit bureaus claim the debt to be real no company will confirm any sort of bill reflecting this value and have continued to destroy my credit over the lasts year. I am contacting a credit attorney again to dispute this debt from Innovative Recovery and failing to follow any and all debt collection guidelines.</t>
  </si>
  <si>
    <t>Someone from this number, keeps calling my father 's residence looking to speak with me. Apparently, she has told my dad there will be legal action taken against me if I do not pay " said debt ''. However, I have all my financial information taken care of. She is violating the Fair Debt Collection Practices Act by threatening someone else for a debt I supposedly owe. There is no verified debt amount, who the debt is from, and or a federally required debt collection notification letter sent to my address over said debt. I want these calls to stop occurring right now.</t>
  </si>
  <si>
    <t>14</t>
  </si>
  <si>
    <t>Alleged Creditor ( finance company ) sold a debt to a third party company back in / /2018. The third party company sent me a letter making a claim that they will be servicing an account. The notice included : IMPORTANT NOTICE ABOUT YOUR RIGHTS : Unless you dispute this debt or any portion of it within thirty days after receipt of this letter, the law permits us to assume that the debt is valid. You may notify us that you dispute the debt or any portion of it in writing, or by telephone. Within days of 7 days of this notice I sent an email, called, and mailed a letter request of debt validation under : Violation of the Fair Credit Reporting Act, Violation of the Fair Debt Collection Practices Act, Defamation of Character, Cease and Desist notice. Include within this letter I stated : If your office fail to respond to this validation</t>
  </si>
  <si>
    <t>15</t>
  </si>
  <si>
    <t>request within 30 days from the date of your receipt, all references to this account must be deleted and completely removed from my credit file and a copy of such deletion request shall be sent immediately. Do not contact me at my workplace for any reason as well as attempt to collect any debts on behalf of the Alleged Creditor that sold this debt until proof of debt has been validated. The Alleged Debt Collector did not nor can not legally prove a valid balance on the account still exists under penalty perjury. The third party company made several attempts to call me to collect payments and act on the behalf of a servicing company. Without notice the third party company has repossessed the vehicle from my workplace after the cease and desist notice was sent months ago. I have made several attempts to get my belongings from this vehicle</t>
  </si>
  <si>
    <t>and was denied by the repossession company.</t>
  </si>
  <si>
    <t>16, 121</t>
  </si>
  <si>
    <t>17</t>
  </si>
  <si>
    <t>I was given credits for canceled flights by through my chase bank account. The fees were reversed and took my account over {$400.00} negative and my account was closed by the bank now I can not open an account with any other bank or credit union due to this the airline was supposed to issue a flight credit and never did then told the bank that I was on the flights so the bank said that cant go against the airline. The dates are / /22 / /22 / /22 / /22 and / /22 the balance was {$470.00} that I was charged</t>
  </si>
  <si>
    <t>18</t>
  </si>
  <si>
    <t>19</t>
  </si>
  <si>
    <t>20</t>
  </si>
  <si>
    <t>My name is and I am a victim of identity theft. I contacted the debt collector IC System and disputed the alleged debt pursuant to the FDCPA and FCRA. As of this complaint I have not received any proof or validation of this alleged debt. I did NOT incur this debt. I am attaching my identity theft notice/report from the FTC in an effort to have this item removed from my credit report.</t>
  </si>
  <si>
    <t>21</t>
  </si>
  <si>
    <t>22, 45</t>
  </si>
  <si>
    <t>23, 107</t>
  </si>
  <si>
    <t>was incorrectly reporting late payment for / / and I previously submitted a CPFB complaint regarding the handling of that dispute ( see attachment ) .The CPFB complaint was resolved and the company did remove the late payment from the payment history on my reports, however, on my transunion report the payment status is still showing 30 days late. It says 30 days late for amount of . Please look at this again and correct the payment status on transunion. Account was paid in full on / / and was never late.</t>
  </si>
  <si>
    <t>24, 108</t>
  </si>
  <si>
    <t>25, 124</t>
  </si>
  <si>
    <t>26, 125</t>
  </si>
  <si>
    <t>, , consumer and natural person, am a victim of identity theft pursuant to 15 USC 1681a ( Q ) ( 3 ) under the FCRA. I have filed an identity theft report pursuant to 15 USC 1681a ( Q ) ( 4 ). Just an FYI : I understand that a consumer reporting agency shall not furnish to any person a record of inquiries in connection with a credit or insurance transaction that is not initiated by a consumer pursuant to 15 USC 1681b ( c ) ( 3 ). Pursuant to 15 USC 1681c-2 ( c ) I understand that you may decline to block or may rescind any block but be warned that declining to block the following information that resulted in identity theft without providing me with my written authority of it to be furnished in the first place will constitute as Aggravated Identity Theft pursuant to 18 U.S. Code 1028A. Aggravated Identity theft carries a criminal liability</t>
  </si>
  <si>
    <t>27</t>
  </si>
  <si>
    <t>of up to 2 years imprisonment. I assure you the information that I am presenting to you was not blocked in error. If you believe that I obtained possession of goods and services, I need a senior Executive member of this company to put it on an affidavit signed under the penalty of perjury notarized.</t>
  </si>
  <si>
    <t>28, 118</t>
  </si>
  <si>
    <t>29</t>
  </si>
  <si>
    <t>30</t>
  </si>
  <si>
    <t>31, 115</t>
  </si>
  <si>
    <t>Requested mortgage forbearance for my mortgage because my family was affected by , I am unemployed my wife is our sole provider currently, my son need for the because of from having . I was approved for a forbearance. I requested additional time to recover from loss of income but was denied assistance. Requested mortgage assistance, submitted financials and requested documents. Citizens Mortgage, Citizen mortgage has not worked with me to assist me with keeping my home instead I have received a foreclosure notice for my home.</t>
  </si>
  <si>
    <t>32</t>
  </si>
  <si>
    <t>From the moment I went into loan repayment, I engaged Nelnet to find the most affordable option available for me. They put me on the lowest payment option ( not a federal program ) that extends the life of the loan and accrues the largest amount of interest. This option was absolutely in their interest, and did nothing to help me pay off my debt. I began to do research and asked to apply for one of the income-based repayment plans that are laid out on federal student loan website. They first told me that I did not qualify for any of them. This was incorrect ; I qualify for the REPAYE program. I 'm not certain, but assuming that they should understand these programs better than me, it was dishonest at best, and a lie at worst. It took me months to argue for moving my loan onto an income-based repayment plan. I engaged, and re-engaged for</t>
  </si>
  <si>
    <t>33</t>
  </si>
  <si>
    <t>months, to only finally be placed on REPAYE this month ( 2016 ).</t>
  </si>
  <si>
    <t>In accordance with the Fair Credit Reporting act. The List of accounts below has violated my federally protected consumer rights to privacy and confidentiality under 15 USC 1681. , has violated my rights. # , has violated my rights. , has violated my rights. # , has violated my rights. # , has violated my rights. # , has violated my rights. # , has violated my rights # , has violated my rights , has violated my rights has violated my rights has violated my rights , has violated my rights # has violated my rights , has violated my rights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t>
  </si>
  <si>
    <t>34</t>
  </si>
  <si>
    <t>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 if the person knows or has reasonable cause to believe that the information is inaccurate.</t>
  </si>
  <si>
    <t>In accordance with the Fair Credit Reporting act. The List of accounts below has violated my federally protected consumer rights to privacy and confidentiality under 15 USC 1681. Account name : # , has violated my rights. 15 U.S.C 1681 section 602 A. States I have the right to privacy. 15 U.S.C 1681 Section 604 A Section 2 : It also states a consumer reporting agency can not furnish a account without my written instructions 15 U.S.C 1681c. ( a ) ( 5 ) Section States : no consumer reporting agency may make any consumer report containing any of the following items of information Any other adverse item of information, other than records of convictions of crimes which antedates the report by more than seven years. 15 U.S.C. 1681s-2 ( A ) ( 1 ) A person shall not furnish any information relating to a consumer to any consumer reporting agency</t>
  </si>
  <si>
    <t>35</t>
  </si>
  <si>
    <t>if the person knows or has reasonable cause to believe that the information is inaccurate.</t>
  </si>
  <si>
    <t>In accordance with the Fair Credit Reporting act. The List of accounts below has violated my federally protected consumer rights to privacy and confidentiality under 15 USC 1681. has violated my rights. 15 U.S.C 1681 section 602 A. States I have the right to privacy. 15 U.S.C 1681 Section 604 A Section 2 : It also states a consumer reporting agency can not furnish an account without my written instructions 15 U.S.C 1681c. ( a ) ( 5 ) Section States : no consumer reporting agency may make any consumer report containing any of the following items of information or Any other adverse item of information, other than records of convictions of crimes which antedates the report by more than seven years. 15 U.S.C. 1681s-2 ( A ) ( 1 ) A person shall not furnish any information relating to a consumer to any consumer reporting agency if the person</t>
  </si>
  <si>
    <t>36</t>
  </si>
  <si>
    <t>knows or has reasonable cause to believe that the information is inaccurate.</t>
  </si>
  <si>
    <t>This is my endeavor to tell you that I am a victim of identity theft and I complain to question specific records in my document coming about because of the wrongdoing. The records I am questioning connect with no exchanges acquiring any possession of goods, services or money that I have made or authorized. Assuming no one cares either way, block the noteworthy of any information in my credit record that came about due to an alleged fraud or extortion. Balance : {$0.00} Balance : {$0.00} Balance : {$670.00} Balance : {$400.00} Balance : {$0.00} ( Original Creditor : ) Balance : {$720.00}</t>
  </si>
  <si>
    <t>37</t>
  </si>
  <si>
    <t>This is my fourth endeavor to tell you that I am a victim of identity theft and I complain to question specific records in my document coming about because of the wrongdoing. The records I am questioning connect with no exchanges acquiring any possession of goods, services, or money that I have made or authorized. Assuming no one cares, either way, block the noteworthy of any information in my credit record that came about due to alleged fraud or extortion.</t>
  </si>
  <si>
    <t>38</t>
  </si>
  <si>
    <t>This is my several endeavor to tell you that I am a victim of identity theft and I complain to question specific records in my document coming about because of the wrongdoing. The records I am questioning connect with no exchanges acquiring any possession of goods, services or money that I have made or authorized. Assuming no one cares either way, block the noteworthy of any information in my credit record that came about due to an alleged fraud or extortion.</t>
  </si>
  <si>
    <t>39</t>
  </si>
  <si>
    <t>Hi I am submitting this this is not any influence and this is not a third party. TransUnion has low and unfair credit number for me in their report. I have complained. The problem has not been resolved. my fico has me at a credit score over 719transunion has me at a score around 590. That is a huge difference. transunion paints me as a . my fico say I have good credit. What the heck is going on here. i have almost no debt and my identity was stolen causing my score to drop n i made this clear for 60 days straight with transunion i spoke to a representative agent name and and from the fraud department I prefer to speak to a us rept but they refused they had me on mute for 4 hours which was hurtful I have a perfect repayment record. I have very low credit utilization. I have three negative credit items outstanding debt now. I have modest</t>
  </si>
  <si>
    <t>40</t>
  </si>
  <si>
    <t>but ok income. Social Security. Something is wrong with Transunion. I do not understand why they are abusing consumers .This was a fist step towards attempting resolution. They kept lying telling me they disputed n its not reporting but it keep reporting this inaccurate information without my authorization. They refused or were unable to verify n remove the inquiries and its been 60days n they record the calls n admitted they had my police report n ftc and affidavit That was after attempting to contact Transunion more than 21 times. transunion is an abusive company. They are supposed to be protecting consumers. They need to be reigned in. they are causing me and stopping me from getting this job offer n now n cant provide to my daughter PLEASE HELP ME PLEASE im now.with no help.</t>
  </si>
  <si>
    <t>Hi I am submitting this this is not any influence and this is not a third party. has low and unfair credit number for me in their report. I have complained. The problem has not been resolved. my fico has me at a credit score over 719XXXX has me at a score around 590. That is a huge difference. paints me as a . my fico say I have good credit. What the heck is going on here. i have almost no debt and my identity was stolen causing my score to drop n i made this clear for 60 days straight with tXXXX i spoke to a representative agent name and and from the fraud department I prefer to speak to a us rept but they refused they had me on mute for 4 hours which was hurtful I have a perfect repayment record. I have very low credit utilization. I have three negative credit items outstanding debt now. I have modest but ok income. Social Security.</t>
  </si>
  <si>
    <t>41</t>
  </si>
  <si>
    <t>Something is wrong with . I do not understand why they are abusing consumers .This was a fist step towards attempting resolution. They kept lying telling me they disputed n its not reporting but it keep reporting this inaccurate information without my authorization. They refused or were unable to verify n remove the inquiries and its been 60days n they record the calls n admitted they had my police report n ftc and affidavit That was after attempting to contact more than 21 times. is an abusive company. They are supposed to be protecting consumers. They need to be reigned in. they are causing me severe and stopping me from getting this job offer n now im n cant provide to my year old daughter PLEASE HELP ME PLEASE im now.with no help.</t>
  </si>
  <si>
    <t>42</t>
  </si>
  <si>
    <t>43</t>
  </si>
  <si>
    <t>I paid a large payment to synchrony bank for my Walmart card and they lowered my limit by the amount I paid, never been late on this account always paid as agreed. I called and the Rep said they looked at my credit and lowered based off that, I have 3 other cards with them and they did the same thing to my QVC card. This is rediculous that they can do this when you pay as agreed. I'd like my limits raised back up if possible.</t>
  </si>
  <si>
    <t>44</t>
  </si>
  <si>
    <t>46, 129</t>
  </si>
  <si>
    <t>This is please do not deny my complaint by stating that I filed this by some other means than myself. This is done 100 % by me. I declare under penalty of perjury I am alleging that a person or company- without my authorization- from unauthorized use of my social security number and card used my personal identifying information to apply for goods, services, or money ; and, was successful in creating some accounts. I have no knowledge of this and All is being investigated by the FTC.</t>
  </si>
  <si>
    <t>47</t>
  </si>
  <si>
    <t>I went to file my taxes and I was told by my consultant that my identity has been stolen because someone had already filed under my social security. I then pulled my credit report to see what all has been opened under my name. There was an outrageous amount of unknown, suspicious items I am familiar with. Please remove these items from my report. {$760.00} {$400.00} {$2500.00} {$2700.00}</t>
  </si>
  <si>
    <t>48</t>
  </si>
  <si>
    <t>49</t>
  </si>
  <si>
    <t>I went to a clinic when I was to have a . My dad went with me and when he asked the receptionist what it cost, he was told {$20.00}, which he paid. A few months later my step mom, who was not there at the time, starting getting letters saying she owed {$140.00} for this ; she was never there and never signed, so she responded to them repeatedly and then they started sending me letters saying I owed it. At the time I was still and told them that they could not place this debt on me, and that I was with my dad when he was told it was only {$30.00}. And all he signed was a receipt. These people will not stop harassing me and telling me I have to pay or they will put a judgement against me ; I am still in . I just turned One month after this . They keep sending me threating letters and I keep disputing it and they leave me alone for a few</t>
  </si>
  <si>
    <t>50</t>
  </si>
  <si>
    <t>months and then they start all over again.</t>
  </si>
  <si>
    <t>I received a call today / /2019 from at I answered it and I got no response or anything I hung up. I did say hello though. I got another call at from # and a girl answered the phone. she asked for me by my full first and last name. I said did not you just call me from the 877 # and she said yes. I told her okay you guys call me everyday and never left a message but call and call remove me from the phone system. this is an officially cease &amp; desist and to stop calling me so much everyday. she said I could take down the information I said no and hung up</t>
  </si>
  <si>
    <t>51</t>
  </si>
  <si>
    <t>52, 122</t>
  </si>
  <si>
    <t>53</t>
  </si>
  <si>
    <t>This is , who is submitting this CFPB complaint myself, and to inform you that there is no third party involved in the process. Regardless of the multiple written requests, the unverified accounts listed below are still reporting on my credit report in violation of federal law. The /Equifax Credit Bureaus failed to comply with the Fair Credit Reporting Act, 15 USC sections 1681i within the time declared by law and continued reporting of unconfirmed information which now, given all my attempts to address it directly with the creditor, as willful negligence and non-compliance with federal statutes. Please remove the following accounts completely from my Credit Reports : : ( Original Creditor : ) Balance : {$3300.00} o Date Opened : / / Balance : {$0.00} o Date Opened : / / Balance : {$0.00} o Date Opened : / / Balance : {$0.00} o Date</t>
  </si>
  <si>
    <t>54, 109</t>
  </si>
  <si>
    <t>Opened : / / Balance : {$0.00} o Date Opened : / / Balance : {$900.00} o Opened : / / o / / Balance : {$810.00} o ( . ) Date o Original Creditor : Date Opened : / / o ( Original Creditor : . ) Date Opened : / / o Date Opened : / / Balance : {$0.00} EQUIFAX : o Date Opened : / / Balance : {$0.00} o Date Opened : / / Balance : {$0.00} o Date Opened : / / Balance : {$0.00} o Date Opened : / / Balance : {$980.00} o Date : / / Balance : {$0.00} o / / Balance : {$810.00} o ( ) Date o A ( Original Creditor : Date o A ( Original Creditor : / / o Date Opened : / / Balance : {$0.00} : o Date Opened : / / : {$0.00} o Date Opened : / / Balance : {$0.00} o Date Opened : / / Balance : {$0.00} o Date Opened : / / Balance : {$0.00} o Date Opened : / / Balance : {$810.00} o Date Opened : / / Balance : {$0.00}</t>
  </si>
  <si>
    <t>recommended Cardinal financial company to finance a mortgage on a home purchase in , Fl. The bank took to long to process the application by holding up the processing over {$140.00} non payment of old bill and it took 4 weeks to appraise the property. The property was under appraised which should have given me the ability to cancel the sale but the appraisal took over 4 weeks to get done and I did not have the ability to cancel the sale. In the end I was forced to take out mortgage insurance on a property in order to to close. Similar properties like mine are selling for {$15000.00} more than my property and the bank refuses to take off the PMI</t>
  </si>
  <si>
    <t>55</t>
  </si>
  <si>
    <t>The lender Bank of America placed insurance of my property and I was never fully explained how it worked. My old policy was somewhere around {$990.00} and Bank of America said that lender placed insurance would be slightly higher than what I could purchase myself but their policy was lower than what I was paying. I thought why shop around since lender placed is lower than what I was paying, I never was explained that lender placed insurance would only cover the structure of the house because that was all Bank of America had interest in. On / /2020 my truck was stolen while parked on the property of my residence with many of my belongings including many of my childrens presents. My truck was recovered with none of my belongings in it. Ive tried to file a claim with insurance company to no avail both for the contents of the truck and the</t>
  </si>
  <si>
    <t>56</t>
  </si>
  <si>
    <t>truck as a structure. Which to my unsterdanding a vehicle is an extension of a persons home unless it is occupied. Therefore if insurance does not want to cover the contents of the truck they should honor the policy saying the policy covers structure on the property and the policy covers malicious activity and vandalism with {$1000.00} deductible. My truck received just above {$8000.00} damage from when it was stolen. I would be happy to take to a body shop to get an estimate for damages.</t>
  </si>
  <si>
    <t>Nationstar hired , and they broke into my home and caused damage under the guise of property preservation and winterization. Nationstar knew the house was already winterized. They allegedly left the door they broke to my home open to the elements for 6 months and damaged door lock assemblies throughout, as well as tampered with my water pump in the basement which required servicing to repair by a professional.</t>
  </si>
  <si>
    <t>57</t>
  </si>
  <si>
    <t>58</t>
  </si>
  <si>
    <t>59</t>
  </si>
  <si>
    <t>1. On / / , my former employer - - direct deposited my payroll check for the period / / - / / in the amount of {$1600.00}. 2. On / / my former employer - WITHDREW {$1600.00} from my checking account without my permission. 3. My bank - Wells Fargo - allowed this transaction, facilitated this transaction, and did NOT inform me this transaction occurred. 4. I ACCIDENTALLY found out of when I made an ATM withdrawal on / / and realized my balance was extremely low. 5. When I demanded my employer return these funds - I was FIRED.</t>
  </si>
  <si>
    <t>60</t>
  </si>
  <si>
    <t>This is not a duplicate nor is this complaint being filed by a third party, I am filing this complaint myself. Please see this complaint is processed to the letter of the law. Despite multiple written requests, the unverified account listed below continue to report on my credit report, in violation of federal law. I included a date on the last letter I submitted to the TransUnion credit bureau / / , but no answer was received. This account must be validated under Sections 609 ( a ) ( 1 ) ( A ) and 611 ( a ) ( 1 ). ( A ). If you do not authenticate this account, I will take legal action against you. Please abide with the law in order for this matter to be resolved promptly.</t>
  </si>
  <si>
    <t>61</t>
  </si>
  <si>
    <t>This is , who is submitting this CFPB complaint myself, and to inform you that there is no third party involved in the process. I sent letters to Equifax Credit Bureau the date of the last letter was on / /2021. And now we are in the month of / /2021 and still nothing from them. That means Equifax has NOT complied with the Fair Credit Reporting Act law and continued to report inaccurate information on my credit report. UPDATE OR REMOVE THESE FOLLOWING ACCOUNTS COMPLETELY FROM MY CREDIT REPORT : ( Original Creditor : )</t>
  </si>
  <si>
    <t>62</t>
  </si>
  <si>
    <t>This is , who is submitting this CFPB complaint myself, and to inform you that there is no third party involved in the process. I sent letters to TransUnion Credit Bureau the date of the last letter was on 2021. And now we are in the month of 2021 and still nothing from them. That means TransUnion has NOT complied with the FairCredit Reporting Act law and continued to report inaccurate information on my credit report. UPDATE OR REMOVE THE FOLLOWING ACCOUNTS FROM MY CREDIT REPORT : USDOE/ ( Original Creditor : )</t>
  </si>
  <si>
    <t>63</t>
  </si>
  <si>
    <t>64</t>
  </si>
  <si>
    <t>65</t>
  </si>
  <si>
    <t>My credit reports have three Negative connotations. They are defined as : serious delinquency.They happened in 2012, when I was a new immigrant, and I did not know about the country 's credit system. The three accounts about because of events in life, I live in the United States at that time, my father is years old living in , he suddenly became very ill, I have to leave the United States, to return to to look after him, I remember I was the second day of the news on the plane left the United States, this led to I did not arrange the rest of the things. Now that I know the existence of these three credit reports, I regret it and start paying them back. They have been around for six years, and I have learned that I can not buy a car or apply for a credit card for six years, which makes my life very difficult.I can not live in a city</t>
  </si>
  <si>
    <t>66</t>
  </si>
  <si>
    <t>without bus or subway, because I can not buy a car. My sincere confession, hope to get your understanding, please do not let the three credit report affect my credit, I just want to buy a car loan, because can not buy a car, my life has become very difficult. I believe that the credit report is more for education and correction, not just for punishment. I know according to the rules, there may be 1 to 2 years they will eliminate these, but I sincerely hope that you can now in this way, because I got enough lessons, me and my life is going to collapse. I am willing to pay all the arrears or fines that I need to repay, just hoping to delete their influence, let me apply for a car loan, and then go to work and life.</t>
  </si>
  <si>
    <t>67</t>
  </si>
  <si>
    <t>68, 123</t>
  </si>
  <si>
    <t>I have inquired multiple times with the company to verify HOW DID THEY VERIFY the accounts in question. I have asked whom did they speak with to verify the accounts along with other questions and the could not verify that they legally verified the accounts. I had asked if they could not tell me how they legally verified the accounts that I would want the accounts removed from my file. The company had over 45 days to show proof of their verification process and I have not heard back from the company.</t>
  </si>
  <si>
    <t>69</t>
  </si>
  <si>
    <t>I closed this account on as this bank gave my Daughter a card on my account in but in they refused to add my wife to the account the whole bill owed is my daughters debt none of it is mine I made a payment to catch account up of this paid it up thru / / these is were the fun begins see on / / my credit report should balance of then I get a statement dated / / showing previous balance and new balance then on my credit report dated / / it shows balance then when I called the bank it says balance payment due the statement claims payment due is funny thing is I paid the payment on / / due / / of they never process the payment tell / / , they also report that last week on my daughter credit report balance was then this week it shows yet they claim they do not report this info on my daughters report this came from their executive office until</t>
  </si>
  <si>
    <t>70</t>
  </si>
  <si>
    <t>this bank can explain all these why payments were made not processed why the five different balances for / / I will not pay any more payments to this bill as a disabled Veteran they are trying to make pay money I do not owe them as I stated this bill is 100 % my Daughters who they gave a card to this bank and the people that work their are full of last person I spoke to on / / she keep saying let 's keep this professional when I ask question my daughter and my wife were both listening this is what they do refuse to answer questions when asked about all the above. and please note Balances went up / / thru / / then from / / / / up then from / / thru / / it went up why the big difference then on / / I made the payment which yes my daughter now owes us but from XXXXThru / / it went down from to so this bill went up in / / when account is</t>
  </si>
  <si>
    <t>closed and payment was made even with everything how did this account go up after payment was made from to they refuse to explain this issue that's why I am claiming their trying to rep me off of fees and money I do not owe even though the whole bill owed is not mine right now I am paying the bill for my daughter and like I say I am not paying another penny to this bank period!!!!!</t>
  </si>
  <si>
    <t>On / / I transferred a total of {$6000.00} from my joint savings into my personal checking. This had been discussed between both account holders. The following day the person I shared my joint checking and savings account with filed a fraud claim and closed both accounts. Shortly after Bank of America put a {$880000.00} freeze on my personal account. When I spoke to their customer service department I was told an investigation would be held and could take up to 10 business days. The 10 business days are now over and I have been told that a hold will be placed on my account for up to 45 days which would make my account active on / / . My credit score has gone down by 12 points since / / . I have creditors calling my phone non stop. I have taken my birth certificate, social, and id into a branch to prove my identity. I have faxed over</t>
  </si>
  <si>
    <t>71</t>
  </si>
  <si>
    <t>documents stating where I work and verification that I am authorized on this account. Page 7 in their disclosure proves my rights and is being broken with no solid answer as to why.</t>
  </si>
  <si>
    <t>I would deposit large sums of my paycheck into this account to save money for future bills or purchases and also as an emergency fund. Nobody was on the account or authorized to access this account. It was in my name only and until an employee, , while working as an employee of TD Bank had given my account information and balances to my wife which caused me to get kicked out of the house and divorced. This has caused all sorts of financial and emotional turmoil. I contacted the bank and filed a grievance. An investigator called me from the bank to take down my statement. I have not heard from the bank since, but have learned that the employee was fired over it.</t>
  </si>
  <si>
    <t>72</t>
  </si>
  <si>
    <t>I was shocked when I reviewed my credit report and found collection account on my credit report. I am not sure how this happened, but this is a total violations of FCRA and FDCPA, and under these provisions I demand that this account be removed from my credit file as I never had any type of relationship with this company or any company associated with you.</t>
  </si>
  <si>
    <t>73</t>
  </si>
  <si>
    <t>I have tried numerous times to have a bankruptcy that is reporting on my file removed as it is not mine. The company reporting it to you is frozen to my personal information due to fraud. So how is it possible this wrong information is reporting on my credit report. This is my last attempt to have it removed or I will be taking legal action.</t>
  </si>
  <si>
    <t>74</t>
  </si>
  <si>
    <t>A fraudulent account from is reporting on my credit. I did not live in the State of California in the year 2018. I live in the State of Louisiana. My address at the time this account was open was : , LA . Ive contacted both the creditor and credit bureaus providing ; FTC report and police report. Both creditor and bureaus are refusing to update and remove this fraudulent account from my credit report.</t>
  </si>
  <si>
    <t>75</t>
  </si>
  <si>
    <t>To Whom It May Concern : I am representing MYSELF and I am the consumer in fact and not a third party. I am communicating with you directly as requested regarding concerns/ issues with my credit report. This letter represents my formal request to again dispute the aforementioned accounts as well as inquiries which are illegally being reported on my account. It was communicated to me to reach out to each individual agency to expedite the removal. As of the date of this letter, it has been over thirty days with no compliance to the Fair Credit Reporting Act ( FCRA 15 U.S.C. 1681 ) enacted by the United States Congress. By their findings, it is now my legal right to have these accounts and inquiries ( FCRA 15 U.S.C. 1681n ) removed. I understand the individual in receipt of this letter is most likely not an attorney. Therefore, I have</t>
  </si>
  <si>
    <t>76</t>
  </si>
  <si>
    <t>attached the laws and definitions to educate any person of my legal rights in the United States of America. I appreciate you understanding how this adversely affects me and is in violation of my rights. Thank you for helping me take this federal matter seriously! Regards Accounts Requiring Immediate Removal : with Account # for a debt owed of {$1600.00} that is reporting as a Collection/Charge Off Unapproved Inquiries Please be aware the following inquiries are plaguing my report. I have communicated with the agencies whom I believe to be responsible for this violation. I have not received any correspondence for the following accounts below. Please remove these adverse inquiries immediately. / / 15 U.S. Code 1681 - Congressional findings and statement of purpose ( a ) Accuracy and fairness of credit reporting The Congress makes the</t>
  </si>
  <si>
    <t>following findings : ( 1 ) The banking system is dependent upon fair and accurate credit reporting. Inaccurate credit reports directly impair the efficiency of the banking system, and unfair credit reporting methods undermine the public confidence which is essential to the continued functioning of the banking system. ( 2 ) An elaborate mechanism has been developed for investigating and evaluating the credit worthiness, credit standing, credit capacity, character, and general reputation of consumers. ( 3 ) Consumer reporting agencies have assumed a vital role in assembling and evaluating consumer credit and other information on consumers. ( 4 ) There is a need to insure that consumer reporting agencies exercise their grave responsibilities with fairness, impartiality, and a respect for the consumers right to privacy. ( b ) Reasonable</t>
  </si>
  <si>
    <t>procedures It is the purpose of this subchapter to require that consumer reporting agencies adopt reasonable procedures for meeting the needs of commerce for consumer credit, personnel, insurance, and other information in a manner which is fair and equitable to the consumer, with regard to the confidentiality, accuracy, relevancy, and proper utilization of such information in accordance with the requirements of this subchapter. 15 U.S. Code 1681a - Definitions ; rules of construction ( a ) Definitions and rules of construction set forth in this section are applicable for the purposes of this subchapter. ( b ) The term person means any individual, partnership, corporation, trust, estate, cooperative, association, government or governmental subdivision or agency, or other entity. ( c ) The term consumer means an individual. ( d ) Consumer</t>
  </si>
  <si>
    <t>Report. ( 1 ) In general.The term consumer report means any written, oral, or other communication of any information by a consumer reporting agency bearing on a consumers credit worthiness, credit standing, credit capacity, character, general reputation, personal characteristics, or mode of living which is used or expected to be used or collected in whole or in part for the purpose of serving as a factor in establishing the consumers eligibility for ( A ) credit or insurance to be used primarily for personal, family, or household purposes ; ( B ) employment purposes ; or ( C ) any other purpose authorized under section 1681b of this title. ( 2 ) Exclusions.Except as provided in paragraph ( 3 ), the term consumer report does not include ( A ) subject to section 1681s3 of this title, any ( i ) report containing information solely as to</t>
  </si>
  <si>
    <t>transactions or experiences between the consumer and the person making the report ; ( ii ) communication of that information among persons related by common ownership or affiliated by corporate control ; or ( iii ) communication of other information among persons related by common ownership or affiliated by corporate control, if it is clearly and conspicuously disclosed to the consumer that the information may be communicated among such persons and the consumer is given the opportunity, before the time that the information is initially communicated, to direct that such information not be communicated among such persons ; ( B ) any authorization or approval of a specific extension of credit directly or indirectly by the issuer of a credit card or similar device ; ( C ) any report in which a person who has been requested by a third party to</t>
  </si>
  <si>
    <t>make a specific extension of credit directly or indirectly to a consumer conveys his or her decision with respect to such request, if the third party advises the consumer of the name and address of the person to whom the request was made, and such person makes the disclosures to the consumer required under section 1681m of this title ; or ( D ) a communication described in subsection ( o ) or ( x ). [ 1 ] ( 3 ) Restriction on sharing of medical information.Except for information or any communication of information disclosed as provided in section 1681b ( g ) ( 3 ) of this title, the exclusions in paragraph ( 2 ) shall not apply with respect to information disclosed to any person related by common ownership or affiliated by corporate control, if the information is ( A ) medical information ; ( B ) an individualized list or description</t>
  </si>
  <si>
    <t>based on the payment transactions of the consumer for medical products or services ; or ( C ) an aggregate list of identified consumers based on payment transactions for medical products or services. ( e ) The term investigative consumer report means a consumer report or portion thereof in which information on a consumers character, general reputation, personal characteristics, or mode of living is obtained through personal interviews with neighbors, friends, or associates of the consumer reported on or with others with whom he is acquainted or who may have knowledge concerning any such items of information. However, such information shall not include specific factual information on a consumers credit record obtained directly from a creditor of the consumer or from a consumer reporting agency when such information was obtained directly</t>
  </si>
  <si>
    <t>from a creditor of the consumer or from the consumer. ( f ) The term consumer reporting agency means any person which, for monetary fees, dues, or on a cooperative nonprofit basis, regularly engages in whole or in part in the practice of assembling or evaluating consumer credit information or other information on consumers for the purpose of furnishing consumer reports to third parties, and which uses any means or facility of interstate commerce for the purpose of preparing or furnishing consumer reports. ( g ) The term file, when used in connection with information on any consumer, means all of the information on that consumer recorded and retained by a consumer reporting agency regardless of how the information is stored. ( h ) The term employment purposes when used in connection with a consumer report means a report used for the</t>
  </si>
  <si>
    <t>purpose of evaluating a consumer for employment, promotion, reassignment or retention as an employee. ( i ) Medical Information.The term medical information ( 1 ) means information or data, whether oral or recorded, in any form or medium, created by or derived from a health care provider or the consumer, that relates to ( A ) the past, present, or future physical, mental, or behavioral health or condition of an individual ; ( B ) the provision of health care to an individual ; or ( C ) the payment for the provision of health care to an individual. [ 2 ] ( 2 ) does not include the age or gender of a consumer, demographic information about the consumer, including a consumers residence address or e-mail address, or any other information about a consumer that does not relate to the physical, mental, or behavioral health or condition of a</t>
  </si>
  <si>
    <t>consumer, including the existence or value of any insurance policy. ( j ) Definitions Relating to Child Support Obligations. ( 1 ) Overdue support. The term overdue support has the meaning given to such term in section 666 ( e ) of title 42. ( 2 ) State or local child support enforcement agency. The term State or local child support enforcement agency means a State or local agency which administers a State or local program for establishing and enforcing child support obligations. ( k ) Adverse Action. ( 1 ) Actions included.The term adverse action ( A ) has the same meaning as in section 1691 ( d ) ( 6 ) of this title ; and ( B ) means ( i ) a denial or cancellation of, an increase in any charge for, or a reduction or other adverse or unfavorable change in the terms of coverage or amount of, any insurance, existing or applied for, in</t>
  </si>
  <si>
    <t>connection with the underwriting of insurance ; ( ii ) a denial of employment or any other decision for employment purposes that adversely affects any current or prospective employee ; ( iii ) a denial or cancellation of, an increase in any charge for, or any other adverse or unfavorable change in the terms of, any license or benefit described in section 1681b ( a ) ( 3 ) ( D ) of this title ; and ( iv ) an action taken or determination that is ( I ) made in connection with an application that was made by, or a transaction that was initiated by, any consumer, or in connection with a review of an account under section 1681b ( a ) ( 3 ) ( F ) ( ii ) of this title ; and ( II ) adverse to the interests of the</t>
  </si>
  <si>
    <t>I am a victim of identity theft. Due to the Corona Virus Pandemic, we are all facing which has me sitting still at home and I saw the recent news about the multiple Data breaches. I decided to look at my credit reports from the 3 major credit bureaus and found that someone had used my Identity. I have no idea how the theft took place. I also have no knowledge of any suspects. I did not receive any money, goods, or services as a result of identity theft. I contacted the and told me to file an Identity Theft Report which I am doing. I appreciate your effort in getting this matter resolved. Thank you. Please let me know if you need any other information from me to block this information from my credit report. Thank you.</t>
  </si>
  <si>
    <t>77</t>
  </si>
  <si>
    <t>On / /2017 A Company who calls themselves PERFORMANT FINANCIAL CORPORATION was allowed to tap into my Consumer Report without my permission. They did an inquiry without my permission. This is Common practice with the Consumer Reporting Agency without Consumer Consent. I want these Foreign agencies to Cease and desist reporting my information, without my Consent, They allow anybody to get into my File without my permission. Please take all of this information out as I have asked on several occasions. This identity theft has got to stop. Send me {$100000.00} for this blatant intrusion into my files.</t>
  </si>
  <si>
    <t>78</t>
  </si>
  <si>
    <t>I received information from you attempting to collect the above-listed alleged debt. Your initial communication to me of the alleged-debt was within 30 days ago. Please be further advised, I dispute the validity of the alleged debt in its entirety. Further I request verification of the alleged debt, including, the name and address of the original creditor, along with a copy of a signed contract with the creditor. Where is my signed HIPPA form? I am aware that you have directly violated the regulations of the HIPAA Act of 1996. I never signed a HIPAA form to authorize your company to have access to my medical records or procedures that I went through. Additionally any attempts to harm my credit history and rating by updating or changing dates after you have been informed that the debt is expired, is a direct violation of the FDCPA. Any</t>
  </si>
  <si>
    <t>79</t>
  </si>
  <si>
    <t>abuse to my credit rating on your part will be met with all recourse available to me by the law. You are illegally attempting to collect an alleged debt and money that I do not owe. As per the law, cease and desist all collection activity, including credit reporting. This letter may be provided to the Consumer Financial Protection Bureau ( CFPB ). The CFPB is authorized to investigate this matter and receive related information.</t>
  </si>
  <si>
    <t>The debt collector ( FOCUS RECEIVABLES MANAGEMENT ) put in my and credit report a debt collection for {$560.00} from . I dispute the collection in and for the reason that I have never had any service from such a company neither requested any service at all. investigated and delete the derogatory mark but still there. I search for ( FOCUS RECEIVABLES MANAGEMENT ) online to verify the authenticity of such a company but they do not have any website. In the , this company has a D- and it's no accredited by ( link Below ).</t>
  </si>
  <si>
    <t>80</t>
  </si>
  <si>
    <t>nor never contacted me regarding my collection account. In fact, earlier this year I had a collection account deleted due to them not verifying specific information related to the collection account. So, you can see that I was shocked to find another collection account placed on my account without me receiving any information. contacted me on two different occasions, however, after I asked who they were they hung up the phone on me not stating the reason for the call. As you can see in the attached documents they had my wrong address even though before I left the complex I gave them my forwarding address. In addition, when I left I did not receive a walk-through of my apartment, so, therefore, how do I know that these charges are accurate? Since this collection came on my report a few months ago I have moved again and I still have not</t>
  </si>
  <si>
    <t>81</t>
  </si>
  <si>
    <t>received any correspondence from them as well as for the accuracy of this report. It has been 1 year since I moved from there, and I am trying to figure out how they can place this on my account without any accurate information. I demand this inaccuracy to be removed from my report and to notify and of their discrepancies.</t>
  </si>
  <si>
    <t>In accordance with the Fair Credit Reporting act , L # , has violated my rights 15. USC 1681 section 602 A - states rights to privacy U.S.c 1681 Section 604 A section 2 - a consumer reporting Agency can not furnish a account without my written instructions U.s.c 1681c. ( A ) ( 5 ) - no consumer reporting agency may make any consumer report containing any of the following items of information any other adverse item if information other than. Records of convictions of crimes which antedates the report by more than seven years 15 U.S.C 1681s-2 ( A ) ( 1 ) A person shall not furnish any information relating to any consumer reporting agency if the person knows or has reasonable cause to believe that the information is inaccurate I am not liable for this debt with " , and do no have a contract with " , they do no provide me with the original</t>
  </si>
  <si>
    <t>82</t>
  </si>
  <si>
    <t>application like I asked</t>
  </si>
  <si>
    <t>In accordance with the FAIR CREDIT REPORTING ACT this creditor has violated my rights. 15 USC 1681 SECTION 602 States I have the right to privacy. 15 USC 1681 SECTION 604 A SECTION 2 : It also states a consumer reporting agency can not furnish a account without written instructions. 15 USC 1666B : A creditor may not treat a payment on a credit card account under an open end consumer credit plan as a late for any purpose.</t>
  </si>
  <si>
    <t>83</t>
  </si>
  <si>
    <t>This company did not receive my written instructions to furnish the following accounts on my consumer report. They are violating the Fair Credit Reporting Act by furnishing information on my consumer report without permissible purpose. This company is an elaborate mechanism which has a need to insure they are exercising their grave responsibility with fairness to the consumer. I have not been treated with equity/fairness. These accounts must be removed :</t>
  </si>
  <si>
    <t>84</t>
  </si>
  <si>
    <t>85, 101</t>
  </si>
  <si>
    <t>I have disputed negative items on my report multiple times almost close to times the bureaus have not sent me no letters to verify these items on my report I have not been given anything I have been calling and been giving the run around repeatedly this is very disheartening because I can not get my house until my credit is fixed please look into this matter immediately</t>
  </si>
  <si>
    <t>86</t>
  </si>
  <si>
    <t>I have two credit cards with Capital One since and Have been charged {$63.00} on / / , for interest charges on a card ending in which has a balance of {$3000.00} and also i have been charged {$23.00} on / / for interest charges on ending in which has a balance of {$1500.00}. I called the customer service line - - - as their website does not have the ability to dispute interest charges or communicate online with customer service. I spoke to Manager/Supervisor ID # and she stated there was nothing she could do to reduce this high interest rate even though i have an excellent payment record and excellent credit history the interest rate of approximately 22 % on both cards. I advised that i would be filing a complaint with the CFPB an agency of the Federal Government. I consider these interest rate practices predatory and would appreciate a</t>
  </si>
  <si>
    <t>88</t>
  </si>
  <si>
    <t>review of this practice from the inception of my credit cards in and am requesting a refund of all this excessive interest they have been charging on these cards.</t>
  </si>
  <si>
    <t>I applied for an American Express credit card through on / /20 with the intent to transfer my balance from another credit card. The introductory offer was 15 months at 0 % APR and a 3 % balance transfer fee. I received my card today and called American Express to do the balance transfer, however, they rudely informed me that they no longer accept balance transfers for any of their cards. The associate on the phone assured me that they do not advertise balance transfers anywhere and I must have been mistaken when I saw this. She offered no resolution. I am extremely frustrated as this is the only reason I applied to open a new line of credit. I included a screenshot of the offer below. I double checked and there is no fine print that says they no longer accept balance transfers. This was misleading and false advertising. American Express</t>
  </si>
  <si>
    <t>89</t>
  </si>
  <si>
    <t>mislead me into opening a new account under the impression that I could issue a balance transfer at a 3 % fee. They offered nothing to solve this issue.</t>
  </si>
  <si>
    <t>On / /2018, when I signed into my BOA mobile banking account, I noticed a credit in the amt of {$100.00} posted to my checking account. Upon further investigation, I discovered that this credit came from my BOA credit card account. In addition to moving funds from my credit card account to my checking account, credit card services assessed {$12.00} overdraft protection fee. I had overdraft protection added to my credit card account to cover transactions in the event my checking account was overdrawn. OnXX/ / , my checking account balance was {$12.00}. My checking account was not overdrawn and funds should not have been moved from my credit card account to my checking account. I contacted BOA immediately, on the same dayXX/ / .I spoke with representatives from BOA checking ( deposits and savings ) and credit card services. Both told me I</t>
  </si>
  <si>
    <t>90</t>
  </si>
  <si>
    <t>need to contact the other department and that I needed to wait until the transactions have cleared the account. Checking ( deposits and savings ) rep confirmed that my account was not overdrawn and that transaction ( credit ) should not have happened. The rep also stated I would need to contact Credit card services to have the {$12.00} Credit card services stated that once the transactions have cleared, I can have the funds moved back from my checking account to my credit card account by making a payment. So I waited until the transactions cleared in my checking account and called BOA credit card services on Tues, / /. I requested the funds in the amount of {$100.00} be removed from my checking account and sent back to my credit card account. I also requested that the {$12.00} overdraft fee be waived. The representative stated that BOA</t>
  </si>
  <si>
    <t>properly assessed the fee and it would not be waived. He stated that he could not reverse the transaction either and if I wanted the funds moved, I would have to make a payment on my credit card from my checking account. I asked him why should I do that when it was BOA 's error and was no error on my part? I advised him of my conversation with Deposit and savings ( my account was not overdrawn and it was an error on BOA 's part ) and recommended he review notes on my account. He then advised me he can not see notes from that department. I asked to speak with a supervisor and he attempted to de-escalate the call and still refused my request to speak with a supervisor. I instructed the credit card services rep to remove overdraft protection and simply close the account altogether. I was transferred to Checking ( deposits and savings ) and</t>
  </si>
  <si>
    <t>informed them of my recent interaction with Credit card services. I explained the situation and the Checking ( deposits and savings ) rep reviewed my account and confirmed that my account was not overdrawn. The rep ( savings and deposits ) remedied the situation by processing a {$12.00} credit to my checking account and then processed a payment in the amount {$110.00} to my credit card account. I asked to be transferred back to the Credit card services so I could speak with a supervisor. I spoke with a Credit card services rep and provided him details about my ordeal and wanted to find out if my account could be reinstated. I also requested to speak with a supervisor. He stated the account could not be reinstated and that I would have to apply again. He submitted a request, but unfortunately, I was not approved. The representative waived</t>
  </si>
  <si>
    <t>the {$12.00} overdraft fee and transferred me to a supervisor. I spoke with a supervisor about reinstating my account and he advised I would have to re-apply.</t>
  </si>
  <si>
    <t>I APPLIED FOR A LOAN FOR AND WAS APPROVED. I SENT EVERY PAPERWORK THEY ASKED FOR AND THEY SENT ME A APPROVAL LETTER. THEY THEN TOLD ME TO USE THEIR REALTOS AND BEGIN LOOKING FOR CONDOS. THEY KNEW THAT IT WOULD NOT BE RIGHT AWAY THAT I WOULD FIND ONE. THIS IS THE MESSAGE I RECENTLY GOT IN THE EMAIL. THIS IS THE MESSAGE I RECEIVED AFTER 10 DAYS THEY COULD NOT LOCATE A VA APPROVED CONDO FOR ME AND THEY REQUIRED THAT I USE THEIR REALTORS. " , We wanted to send you a note to let you know that your loan file has been closed because it was withdrawn, denied or marked incomplete due to inactivity. A letter outlining the full details of your loan closure should arrive in the next 10 days. If you have any questions in the meantime, or if you do not receive your letter after 10 days, feel free to reach out to your Loan Officer. Sincerely, ''</t>
  </si>
  <si>
    <t>91</t>
  </si>
  <si>
    <t>To whom it may concern, today is / / . Yesterday I received a dispute response from TransUnion which really has me baffled and concerned about my credit report and how to keep it fit for the economy and country that I live in, the United States of America. In / / , TransUnion added a delinquent mortgage account to my credit report. An account for a home that my ex-spouse resides. In the last two months the other two reporting agencies have added the default mortgage as well. My ex asked for the home in our divorce ( ) and was granted the home in writing by the judge of our divorce proceeding. He did not have my name removed or made any other attempts to show that he no longer wanted me to have a part of the home. He faulted on the VA loan and has not made any payments on the loan in almost four years. / / , he filed bankruptcy, which</t>
  </si>
  <si>
    <t>92</t>
  </si>
  <si>
    <t>means he is not responsible for payments, and can not be solicited for the payments, but I am. He lives in the home with his family, not me. I spoke to the newest mortgage company, , and asked them to foreclose the home or put it on the market for sale if I am the new responsible party because they will not adhere to the decree. The did not, and they also denied his paperwork for a modification for the loan and so did , the original owners. The first choice for them is to wait on me to make a payment and for him to live in the home for free. I will not pay a mortgage for a home that I do not reside. attempted to insert me into his loan modification in but he told me not to worry about it. I learned that I was to sign a quick deed, which did not alleviate me of financial responsibility anyway. All in all, it would've gotten payments made</t>
  </si>
  <si>
    <t>if they had accepted his paperwork. I am not sure the specifics to that issue. Then I am told that the rules for foreclosure have to be met per the state 's requirements. Well how many rules and laws does it take to understand that the house is not free and the mortgage is due? Virginia needs to get it together. These mortgage companies who are not listening to what is being said should also get it together. The home was purchased in and costs more now than it did when it was purchased, he is currently {$140000.00} in arrears. That's about a fourth of the cost of the home.. If you can live for free then there is no incentive to pay the mortgage! At the same time, permission is not needed to make a payment. He could have been making payments all this time with or without a modification. Its not like the mortgage company will return the</t>
  </si>
  <si>
    <t>checks, or will they? I am writing to ask that remove this home from my credit report, all three, and give him a payment plan for the mortgage or foreclose/sale the home immediately. should also place a valid phone number on the credit reports.I would also like the credit reporting agencies to delete " remove per divorce decree '' as an option for a dispute if the decree is not sufficient or will not be upheld once provided.</t>
  </si>
  <si>
    <t>The mortgage company that I currently have refuses to give me a statement in the mail concerning my loan payments. They state that they do not have to give me the statement in the mail. I have noticed on several occasions that the balance, and monthly statements are not accurate. I have requested 5 times that they start mailing me statements and they refuse. I have also asked them to send me an itemized list of my account concerning all of my payment since they have taken over my loan, and they have not complied.</t>
  </si>
  <si>
    <t>93</t>
  </si>
  <si>
    <t>, FL, DOB : / / SS # Dear Sir/Madam : I am contacting you about the compromising of my social security number. I am a victim of Identity Theft. I contacted the Federal Trade Commission and filed a complaint # and contacted the police department and obtained a police report # which both are attached. Please block and remove all information from my credit report, and send me an updated copy of my credit report. The following items do not belong to me and is a result of fraud that I did not authorize : {$2000.00} Paid, closed Account Info Account numberXXXX Account status Closed Date opened / / / {$190.00} {$0.00} Paid, closed Account Info Account number Account status Closed Date opened / / Account type Auto Loan Balance Loan Amount {$0.00} {$26000.00} {$2800.00} Paid, closed Account Info Account numberXXXX Account status Closed Date</t>
  </si>
  <si>
    <t>94</t>
  </si>
  <si>
    <t>openedXX/ / Account type Auto Loan Balance Loan Amount {$2800.00} {$16000.00} OPENED / / {$960.00} DEPT OF EDUCATION/ {$4600.00} 0 % paid off Account Info Account numberXXXX Date openedXX/ / Account type Education Loan Balance Loan Amount {$4600.00} DEPT OF EDUCATION/ {$1700.00} 0 % paid off 6 late payments Account Info Account number Account status Open Date opened / / Account type Education Loan Balance Loan Amount {$1700.00} {$1100.00} Account Info Hover over labels for more details Account number Account status Closed Date opened / / Account type Lease Balance Loan Amount {$3800.00} {$5100.00} Payment Info Status Charge-off Past due amount {$2200.00} {$12000.00} Paid, closed 1 charge-off Account Info Hover over labels for more details Account number Account status Closed Date opened / / Account type Balance Loan Amount {$12000.00}</t>
  </si>
  <si>
    <t>{$0.00} Paid, closed Account Info Hover over labels for more details Account numberXXXX Account status Closed Date openedXX/ / Account type Balance Loan Amount $ XXXXunavailable Original creditor : {$1500.00} 0 % paid off Account Info Tap labels for more details Account number Collection opened / / Account type Collection Department / Agency / Attorney Balance Loan Amount {$1500.00} {$1500.00} Payment Info Original loan amount {$1500.00} Original creditor : . {$960.00} 0 % paid off Account Info Tap labels for more details Account number Collection opened / / Account type Factoring Company Balance Loan Amount {$960.00} {$960.00} Payment Info Original loan amount {$960.00} US BKPT CT GA Bankruptcy chapter -discharged Original filing date : / / Latest status date : / / Account Info Reference Number Court US BKPT CT GA .</t>
  </si>
  <si>
    <t>I attended 2016. Upon signing up, I was told there would be guaranteed internship and job placement after graduating. School was coming to an end and I had no internship. I was told that I was " on my own and had 1 week after school ended to find one ''. After my was completed and official graduation date has come, my student loans kicked in and my monthly income came no where near what was expected once I attended the school and struggled to pay loans, rent, and basic day to day essentials. I was forced to have my loans go into collections and was told " I should have gotten a better job and thought about my career before I went to school '' by a customer service representative. Fast forward 3 years, closed their doors under the law Obama had passed where if a students loan payments exceeded their monthly income, they had to close. Which</t>
  </si>
  <si>
    <t>95</t>
  </si>
  <si>
    <t>was 100 % the case for myself and almost everyone I knew from the school. I still struggle with paying my loans and working with a representative to have my payments lower to no avail. There has been 2 class action suit won over the same issue in 2 other states. should be the next class action suit won! Since the school had closed, I 'm unable to log into my school email account to retrieve my school files or else I would be able to provide you with more detailed information.</t>
  </si>
  <si>
    <t>I am and have been a veteran of the . Navient, the holders of my loan did not inform me I had the right to have it forgiven under the federal discharge program. When I informed them of the situation they up it under forbearance, then when that time was up they attempted to charge me, then extended it again for three months. I just now found the CFPB is filing suit for this practice. Please have this information removed from all three of my reports until the findings are satisfied. My account number with Navient is .</t>
  </si>
  <si>
    <t>96</t>
  </si>
  <si>
    <t>Back in I contacted Dovenmuehle Mortgage to inquire about their forbearance options. after consideration, i declined however they placed my loan into forbearance based on my inquiry alone and ceased accepting automatic payments without my knowledge or consent. Thereafter my loan was reported as delinquent to the credit bureaus witch has resulted in lowering of my credit score significantly. When i contacted them in , i was told there was a system issue and they will not charge me any late fess, however they " accidentally '' reported me to the credit bureaus as late. They were going to fix it right away, however i did not see a change in the credit score for over 3 months. I called again in to inquire about them fixing my credit score only to find out that they placed my loan into forbearance again, stopped my automated payments and</t>
  </si>
  <si>
    <t>97</t>
  </si>
  <si>
    <t>charged me a late fee, and could not explain why i was charged a late fee if i was enrolled in forbearance. Also, when i asked about the fixing of the reported information to credit bureaus, i was told they are short people and do not have an estimated time when it will be fixed. We are in the process of selling the house and are unable to purchase another one due to the low credit score.</t>
  </si>
  <si>
    <t>I had a forbearance agreement with my former mortgage company, Specialized Loan Servicing , LLC, for the months of , and of 2020 with an expiration date of / /2020. The loan was paid off on / /2020 and therefore it was not a late payment. Yet, Specialized Loan Servicing, LLC informed that the payment was late when they know that it was not. This has adversely affect mine and my wife 's credit because of their error.</t>
  </si>
  <si>
    <t>98</t>
  </si>
  <si>
    <t>From the onset of Realtime Resolutions has provided false and inaccurate billing statements. Despite paying the agreed amount on time Realtime Resolutions continues to send me billing which reflects that I am behind on payments which actually I am not. This is more than frustrating as this is the third complaint filed to have an official audit of my account. Realtime Resolutions has committed fraudulent acts by sending correspondence which reflects payment up to date. But billing statements from the past four months that indicate that I am delinquent on payments which is false.</t>
  </si>
  <si>
    <t>99</t>
  </si>
  <si>
    <t>100</t>
  </si>
  <si>
    <t>I was just looking over my credit report and found some addresses that appear to be incorrect. I have already requested this information to be deleted and I have submitted documents showing my current address on / /. I still see incorrect addresses listed ( which I would like removed please ) : Incorrect Addresses : There should only be one address listed on my report, which is : I also noticed that my name appears to be misspelled on my credit report. My name only has one correct spelling, and there should be no variations listed because my name has no variations. Please refer to the recently submitted documentation for the correct spelling of my name as well. Once again, in order to make the process of deletion easier, here are the incorrect spellings I see listed : Incorrect Names : There should only be one name listed on my report,</t>
  </si>
  <si>
    <t>102</t>
  </si>
  <si>
    <t>which is : ( Not in all capital letters, I am not a corporation, I am a living human ) Once you have deleted the inaccurate names and addresses from my credit report, please send me a copy of my updated report</t>
  </si>
  <si>
    <t>On / /2019 I was alerted to a negative change to my Transunion credit report resulting in a 91 point drop in my credit score. The negative report was that my balance on the Credit Card increased {$820.00}, but what Transunion is not considering is that I transferred that balance from my Credit Card. It was just a transfer, there was no increase on my credit cards. Transunion also indicated a negative report on my credit due to an increase of {$39.00} on a Credit Card. Transunion is not showing any of the payments I made on these credit cards in the last month of over {$300.00}. My credit score should never have dropped, it was just a transfer from one card to another and if my payments were shown correctly my credit score should be back above where it belongs.</t>
  </si>
  <si>
    <t>103</t>
  </si>
  <si>
    <t>104</t>
  </si>
  <si>
    <t>Today I accessed your site to get all three of my scores, for free. Equifax replied with " Onine Delivery Unavailable. '' # . I have to organize a bunch of documents to get my score, by snail mail? WHY? This is ANOTHER example of how the system is broken. I need the score TODAY to deal with an important refinancing decision. Please reply to Thank you</t>
  </si>
  <si>
    <t>105</t>
  </si>
  <si>
    <t>106</t>
  </si>
  <si>
    <t>I am , and I appreciate your taking the time to delete some of the information in my credit file ; however, there are still other accounts that need to be corrected and deleted. The 3 credit bureaus must verify these accounts under Sections 609 ( a ) ( 1 ) ( A ) and 611 ( a ) ( 1 ). ( A ). I am hoping that these disputed accounts get corrected. ( Original Creditor : ) Balance : {$50.00} ( Original Creditor : ) Balance : {$220.00} Balance : {$0.00} ( Original Creditor : ) Balance : {$1000.00} Balance : {$1000.00} , ( Original Creditor : ) XXXXBalance : {$990.00}</t>
  </si>
  <si>
    <t>110</t>
  </si>
  <si>
    <t>This is my several request that I have been a victim of identity theft and that no one seems to care, that I want to dispute specific accounts in my credit file that do not belong to me, or that I have signed any agreement. The accounts I am challenging have nothing to do with any transactions I have done or authorized to gain products, services, or money. Please remove the following accounts in my file listed below : &amp; ( Original Creditor : ) Balance : {$3300.00}, Date Opened : / / Balance : {$0.00}, Date Opened : / / Balance : {$0.00}, Date Opened : / / Balance : {$0.00}, Date Opened : / / Balance : {$0.00}, Date Opened : / / Balance : {$830.00}, Opened : / / ( Original Creditor : ) Balance : {$990.00}, Date Opened : / / Balance : {$830.00}, ( Original Creditor : ) Balance : {$990.00}</t>
  </si>
  <si>
    <t>111</t>
  </si>
  <si>
    <t>I have a student loan that is serviced by Navient. I do n't make enough money to be able to afford to pay off my loans even with income based repayment plans as I just had a daughter. My loans have ballooned out of control because I was advised to place my loans in forbearance every time I called and asked what my options are. This loan will be over {$90000.00} this year. And I am paying less than the interest now. I asked about lowering my interest rate and was told that is not an option. Navient, like any other company today is looking to exploit its customers as much as it can. Whats worse is I did n't have a choice in this matter.</t>
  </si>
  <si>
    <t>116</t>
  </si>
  <si>
    <t>We did a refinance with Wells Fargo. The closing was / / . At the closing they said that it is difficult to calculate the payoff of the old mortgage and that we were getting {$3000.00} more than we needed. I think its a scam. They have to get closer than that. Now it is / / and we are still waiting for our . How many people per year do they do that too? Interest they make would be staggering. Again I believe it is a scam.</t>
  </si>
  <si>
    <t>117</t>
  </si>
  <si>
    <t>I have received a collection letter from Caine &amp; Weiner a debt in the amount of {$600.00} to . I have NEVER requested insurance from ; however, this policy covered a car which belonged to my son on which I was a co-borrower. IF I am responsible for this debt why did not contact me BEFORE turning it over for collection!? This seems to be an unfair and deceptive practice. The debt dates back to 2017! I am asking that provide proof that I am responsible for this debt AND an explanation as to why I was not contacted prior to the debt being sent for collection.</t>
  </si>
  <si>
    <t>119</t>
  </si>
  <si>
    <t>120</t>
  </si>
  <si>
    <t>126</t>
  </si>
  <si>
    <t>127</t>
  </si>
  <si>
    <t>I was told by 4 different companies that the inquiry they were pulling would be a soft inquiry which were all done in this the last month yet each Company did a hard inquiry without my consent. There websites said that the inquiry would not affect my credit yet they are all on my credit report and have impacted my score substantially. I am furious and need this resolved.</t>
  </si>
  <si>
    <t>128</t>
  </si>
  <si>
    <t>On / /2020 I sent a letter regarding inaccurate and unknown things on my credit report, to this day over 60 days later I have not received a response yet. I feel like I am being taken advantage of and being ignored of my disputes. Section 611 ( a ) it is plainly stated that a failure to investigate these items within 30 days gives a reason to immediately remove those items on my credit report it has been over 60 days so they should be deleted promptly. I demand these accounts be deleted immediately or i will file for litigation due to the stress you caused me. My information was also impacted by the data breach and may have got into the hands of the wrong person.</t>
  </si>
  <si>
    <t>130</t>
  </si>
  <si>
    <t>On / /2022, I sent a letter regarding inaccurate and unknown things on my credit report to this day over 30 days later I have not received a response yet. I feel like I am taken advantage of and being ignored for my disputes. Section 611 ( a ), it is plainly stated that failure to investigate these items within 30 days gives a reason to immediately remove those items from my credit report, it has been over 30 days so they should be deleted promptly. I demand these accounts should be deleted immediately or I will file for litigation due to the stress you caused me. My information was also impacted by the Equifax Data breach and may have got into the hands of the wrong person.</t>
  </si>
  <si>
    <t>131</t>
  </si>
  <si>
    <t>On / /2020 I sent a letter regarding inaccurate and unknown things on my credit report, to this day over 60 days later I have not received a response yet. I feel like I am being taken advantage of and being ignored of my disputes. Section 611 ( a ) it is plainly stated that a failure to investigate these items within 30 days gives a reason to immediately remove those items on my credit report it has been over 60 days so they should be deleted promptly. I demand these accounts be deleted immediately or i will file for litigation due to the stress you caused me. My information was also impacted by the Equifax data breach and may have got into the hands of the wrong person.</t>
  </si>
  <si>
    <t>132</t>
  </si>
  <si>
    <t>My name is this complaint is not made in error neither is it being made by a third party.I declare under penalty of perjury I am alleging that a person or company- without my authorization- from unauthorized use of my social security number and card used my personal identifying information to apply for goods, services, or money ; and, was successful in creating some accounts. I have no knowledge of this and All is being investigated by the FTC and Under 15 U.S. Code 1681b Permissible purposes of consumer reports i never gave any written consent to report anything on my consumer reports no consent is fraud.</t>
  </si>
  <si>
    <t>133</t>
  </si>
  <si>
    <t>My name this complaint is not made in error neither is it being made by a third party.I declare under penalty of perjury I am alleging that a person or company- without my authorization- from unauthorized use of my social security number and card used my personal identifying information to apply for goods, services, or money ; and, was successful in creating some accounts. I have no knowledge of this and All is being investigated by the FTC and Under 15 U.S. Code 1681b Permissible purposes of consumer reports i never gave any written consent to report anything on my consumer reports no consent is fraud.</t>
  </si>
  <si>
    <t>134</t>
  </si>
  <si>
    <t>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</si>
</sst>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7">
    <font>
      <sz val="11"/>
      <name val="Carlito"/>
    </font>
    <font>
      <sz val="10"/>
      <color rgb="FF23343C"/>
      <name val="Arial"/>
    </font>
    <font>
      <b/>
      <sz val="14"/>
      <color rgb="FFFFFFFF"/>
      <name val="Arial"/>
    </font>
    <font>
      <sz val="10"/>
      <color rgb="FF51636B"/>
      <name val="Arial"/>
    </font>
    <font>
      <sz val="10"/>
      <color rgb="FF23343C"/>
      <name val="Arial"/>
    </font>
    <font>
      <b/>
      <sz val="10"/>
      <color rgb="FFFFFFFF"/>
      <name val="Arial"/>
    </font>
    <font>
      <b/>
      <sz val="10"/>
      <color rgb="FF23343C"/>
      <name val="Arial"/>
    </font>
  </fonts>
  <fills count="9">
    <fill>
      <patternFill patternType="none"/>
    </fill>
    <fill>
      <patternFill patternType="gray125"/>
    </fill>
    <fill>
      <patternFill patternType="solid">
        <fgColor rgb="FF173B4A"/>
      </patternFill>
    </fill>
    <fill>
      <patternFill patternType="solid">
        <fgColor rgb="FFF5F8F9"/>
      </patternFill>
    </fill>
    <fill>
      <patternFill patternType="solid">
        <fgColor rgb="FFFFF2D8"/>
      </patternFill>
    </fill>
    <fill>
      <patternFill patternType="solid">
        <fgColor rgb="FFE9F1F3"/>
      </patternFill>
    </fill>
    <fill>
      <patternFill patternType="solid">
        <fgColor rgb="FFE7F2E9"/>
      </patternFill>
    </fill>
    <fill>
      <patternFill patternType="solid">
        <fgColor rgb="FFFCE9E7"/>
      </patternFill>
    </fill>
    <fill>
      <patternFill patternType="solid">
        <fgColor rgb="FF176B6E"/>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vertical="top" wrapText="1"/>
    </xf>
    <xf numFmtId="0" fontId="5" fillId="2" borderId="0" xfId="0" applyFont="1" applyFill="1" applyAlignment="1">
      <alignment vertical="center" wrapText="1"/>
    </xf>
    <xf numFmtId="0" fontId="1" fillId="3" borderId="0" xfId="0" applyFont="1" applyFill="1" applyAlignment="1">
      <alignment vertical="top" wrapText="1"/>
    </xf>
    <xf numFmtId="49" fontId="1" fillId="0" borderId="0" xfId="0" applyNumberFormat="1" applyFont="1" applyAlignment="1">
      <alignment vertical="top" wrapText="1"/>
    </xf>
    <xf numFmtId="49" fontId="1" fillId="3" borderId="0" xfId="0" applyNumberFormat="1" applyFont="1" applyFill="1" applyAlignment="1">
      <alignment vertical="top" wrapText="1"/>
    </xf>
    <xf numFmtId="164" fontId="1" fillId="0" borderId="0" xfId="0" applyNumberFormat="1" applyFont="1" applyAlignment="1">
      <alignment vertical="top" wrapText="1"/>
    </xf>
    <xf numFmtId="164" fontId="1" fillId="3" borderId="0" xfId="0" applyNumberFormat="1" applyFont="1" applyFill="1" applyAlignment="1">
      <alignment vertical="top" wrapText="1"/>
    </xf>
    <xf numFmtId="1" fontId="1" fillId="0" borderId="0" xfId="0" applyNumberFormat="1" applyFont="1" applyAlignment="1">
      <alignment vertical="top" wrapText="1"/>
    </xf>
    <xf numFmtId="1" fontId="1" fillId="3" borderId="0" xfId="0" applyNumberFormat="1" applyFont="1" applyFill="1" applyAlignment="1">
      <alignment vertical="top" wrapText="1"/>
    </xf>
    <xf numFmtId="1" fontId="1" fillId="0" borderId="0" xfId="0" applyNumberFormat="1" applyFont="1" applyAlignment="1">
      <alignment horizontal="center" vertical="top" wrapText="1"/>
    </xf>
    <xf numFmtId="1" fontId="1" fillId="3" borderId="0" xfId="0" applyNumberFormat="1" applyFont="1" applyFill="1" applyAlignment="1">
      <alignment horizontal="center" vertical="top" wrapText="1"/>
    </xf>
    <xf numFmtId="0" fontId="6" fillId="5" borderId="0" xfId="0" applyFont="1" applyFill="1" applyAlignment="1">
      <alignment vertical="top" wrapText="1"/>
    </xf>
    <xf numFmtId="1" fontId="6" fillId="5" borderId="0" xfId="0" applyNumberFormat="1" applyFont="1" applyFill="1" applyAlignment="1">
      <alignment horizontal="center" vertical="top" wrapText="1"/>
    </xf>
    <xf numFmtId="0" fontId="1" fillId="0" borderId="0" xfId="0" applyFont="1" applyAlignment="1">
      <alignment horizontal="center" vertical="top" wrapText="1"/>
    </xf>
    <xf numFmtId="0" fontId="2" fillId="2" borderId="0" xfId="0" applyFont="1" applyFill="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4" fillId="6" borderId="0" xfId="0" applyFont="1" applyFill="1" applyAlignment="1">
      <alignment vertical="center" wrapText="1"/>
    </xf>
    <xf numFmtId="0" fontId="4" fillId="7" borderId="0" xfId="0" applyFont="1" applyFill="1" applyAlignment="1">
      <alignment vertical="center" wrapText="1"/>
    </xf>
    <xf numFmtId="0" fontId="4" fillId="4" borderId="0" xfId="0" applyFont="1" applyFill="1" applyAlignment="1">
      <alignment vertical="center" wrapText="1"/>
    </xf>
    <xf numFmtId="0" fontId="5" fillId="8" borderId="0" xfId="0" applyFont="1" applyFill="1" applyAlignment="1">
      <alignment vertical="center" wrapText="1"/>
    </xf>
    <xf numFmtId="0" fontId="5" fillId="2" borderId="0" xfId="0" applyFont="1" applyFill="1" applyAlignment="1">
      <alignment vertical="center" wrapText="1"/>
    </xf>
    <xf numFmtId="0" fontId="4" fillId="3" borderId="0" xfId="0" applyFont="1" applyFill="1" applyAlignment="1">
      <alignment vertical="center" wrapText="1"/>
    </xf>
  </cellXfs>
  <cellStyles count="1">
    <cellStyle name="Normal" xfId="0" builtinId="0"/>
  </cellStyles>
  <dxfs count="3">
    <dxf>
      <font>
        <b/>
        <color rgb="FF735110"/>
      </font>
      <fill>
        <patternFill patternType="solid">
          <bgColor rgb="FFFFF2D8"/>
        </patternFill>
      </fill>
    </dxf>
    <dxf>
      <font>
        <b/>
        <color rgb="FF8D3026"/>
      </font>
      <fill>
        <patternFill patternType="solid">
          <bgColor rgb="FFFCE9E7"/>
        </patternFill>
      </fill>
    </dxf>
    <dxf>
      <font>
        <b/>
        <color rgb="FF23532F"/>
      </font>
      <fill>
        <patternFill patternType="solid">
          <bgColor rgb="FFE7F2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plaintReview" displayName="ComplaintReview" ref="A4:L139" totalsRowShown="0">
  <autoFilter ref="A4:L139" xr:uid="{00000000-0009-0000-0100-000001000000}"/>
  <tableColumns count="12">
    <tableColumn id="1" xr3:uid="{00000000-0010-0000-0000-000001000000}" name="Model"/>
    <tableColumn id="2" xr3:uid="{00000000-0010-0000-0000-000002000000}" name="Topic"/>
    <tableColumn id="3" xr3:uid="{00000000-0010-0000-0000-000003000000}" name="Document ID"/>
    <tableColumn id="4" xr3:uid="{00000000-0010-0000-0000-000004000000}" name="Fit?"/>
    <tableColumn id="5" xr3:uid="{00000000-0010-0000-0000-000005000000}" name="Assessment"/>
    <tableColumn id="6" xr3:uid="{00000000-0010-0000-0000-000006000000}" name="Reviewer notes"/>
    <tableColumn id="7" xr3:uid="{00000000-0010-0000-0000-000007000000}" name="Complaint excerpt (first 330 characters)"/>
    <tableColumn id="8" xr3:uid="{00000000-0010-0000-0000-000008000000}" name="Interpreted topic theme"/>
    <tableColumn id="9" xr3:uid="{00000000-0010-0000-0000-000009000000}" name="Original model label"/>
    <tableColumn id="10" xr3:uid="{00000000-0010-0000-0000-00000A000000}" name="Original model score"/>
    <tableColumn id="11" xr3:uid="{00000000-0010-0000-0000-00000B000000}" name="Source review row"/>
    <tableColumn id="12" xr3:uid="{00000000-0010-0000-0000-00000C000000}" name="Full text starts at row"/>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opicDefinitions" displayName="TopicDefinitions" ref="A4:K52" totalsRowShown="0">
  <autoFilter ref="A4:K52" xr:uid="{00000000-0009-0000-0100-000002000000}"/>
  <tableColumns count="11">
    <tableColumn id="1" xr3:uid="{00000000-0010-0000-0100-000001000000}" name="Model"/>
    <tableColumn id="2" xr3:uid="{00000000-0010-0000-0100-000002000000}" name="Topic"/>
    <tableColumn id="3" xr3:uid="{00000000-0010-0000-0100-000003000000}" name="Interpreted theme"/>
    <tableColumn id="4" xr3:uid="{00000000-0010-0000-0100-000004000000}" name="Original top words"/>
    <tableColumn id="5" xr3:uid="{00000000-0010-0000-0100-000005000000}" name="Interpretation note"/>
    <tableColumn id="6" xr3:uid="{00000000-0010-0000-0100-000006000000}" name="Reviewed"/>
    <tableColumn id="7" xr3:uid="{00000000-0010-0000-0100-000007000000}" name="Yes"/>
    <tableColumn id="8" xr3:uid="{00000000-0010-0000-0100-000008000000}" name="No"/>
    <tableColumn id="9" xr3:uid="{00000000-0010-0000-0100-000009000000}" name="Unclear"/>
    <tableColumn id="10" xr3:uid="{00000000-0010-0000-0100-00000A000000}" name="Held-out count"/>
    <tableColumn id="11" xr3:uid="{00000000-0010-0000-0100-00000B000000}" name="Original model label"/>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mplaintTexts" displayName="ComplaintTexts" ref="A5:E185" totalsRowShown="0">
  <autoFilter ref="A5:E185" xr:uid="{00000000-0009-0000-0100-000003000000}"/>
  <tableColumns count="5">
    <tableColumn id="1" xr3:uid="{00000000-0010-0000-0200-000001000000}" name="Document ID"/>
    <tableColumn id="2" xr3:uid="{00000000-0010-0000-0200-000002000000}" name="Part"/>
    <tableColumn id="3" xr3:uid="{00000000-0010-0000-0200-000003000000}" name="Parts"/>
    <tableColumn id="4" xr3:uid="{00000000-0010-0000-0200-000004000000}" name="Complaint text — continuation parts preserve original spacing"/>
    <tableColumn id="5" xr3:uid="{00000000-0010-0000-0200-000005000000}" name="Review row IDs"/>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6B6E"/>
  </sheetPr>
  <dimension ref="A1:H50"/>
  <sheetViews>
    <sheetView showGridLines="0" tabSelected="1" workbookViewId="0">
      <selection activeCell="L4" sqref="L4"/>
    </sheetView>
  </sheetViews>
  <sheetFormatPr defaultRowHeight="14"/>
  <cols>
    <col min="1" max="1" width="19.4140625" customWidth="1"/>
    <col min="2" max="4" width="10.58203125" customWidth="1"/>
    <col min="5" max="5" width="11.6640625" customWidth="1"/>
    <col min="6" max="7" width="13.33203125" customWidth="1"/>
    <col min="8" max="8" width="14.4140625" customWidth="1"/>
  </cols>
  <sheetData>
    <row r="1" spans="1:8" ht="32" customHeight="1">
      <c r="A1" s="15" t="s">
        <v>0</v>
      </c>
      <c r="B1" s="15" t="s">
        <v>0</v>
      </c>
      <c r="C1" s="15" t="s">
        <v>0</v>
      </c>
      <c r="D1" s="15" t="s">
        <v>0</v>
      </c>
      <c r="E1" s="15" t="s">
        <v>0</v>
      </c>
      <c r="F1" s="15" t="s">
        <v>0</v>
      </c>
      <c r="G1" s="15" t="s">
        <v>0</v>
      </c>
      <c r="H1" s="15" t="s">
        <v>0</v>
      </c>
    </row>
    <row r="2" spans="1:8" ht="36" customHeight="1">
      <c r="A2" s="17" t="s">
        <v>1</v>
      </c>
      <c r="B2" s="17" t="s">
        <v>1</v>
      </c>
      <c r="C2" s="17" t="s">
        <v>1</v>
      </c>
      <c r="D2" s="17" t="s">
        <v>1</v>
      </c>
      <c r="E2" s="17" t="s">
        <v>1</v>
      </c>
      <c r="F2" s="17" t="s">
        <v>1</v>
      </c>
      <c r="G2" s="17" t="s">
        <v>1</v>
      </c>
      <c r="H2" s="17" t="s">
        <v>1</v>
      </c>
    </row>
    <row r="3" spans="1:8">
      <c r="A3" s="1"/>
      <c r="B3" s="1"/>
      <c r="C3" s="1"/>
      <c r="D3" s="1"/>
      <c r="E3" s="1"/>
      <c r="F3" s="1"/>
      <c r="G3" s="1"/>
      <c r="H3" s="1"/>
    </row>
    <row r="4" spans="1:8" ht="30" customHeight="1">
      <c r="A4" s="2" t="s">
        <v>2</v>
      </c>
      <c r="B4" s="2" t="s">
        <v>3</v>
      </c>
      <c r="C4" s="2" t="s">
        <v>4</v>
      </c>
      <c r="D4" s="2" t="s">
        <v>5</v>
      </c>
      <c r="E4" s="2" t="s">
        <v>6</v>
      </c>
      <c r="F4" s="18" t="s">
        <v>7</v>
      </c>
      <c r="G4" s="18" t="s">
        <v>7</v>
      </c>
      <c r="H4" s="18" t="s">
        <v>7</v>
      </c>
    </row>
    <row r="5" spans="1:8" ht="30" customHeight="1">
      <c r="A5" s="1" t="s">
        <v>8</v>
      </c>
      <c r="B5" s="10">
        <f>COUNTIF(Review!$A$5:$A$139,A5)</f>
        <v>27</v>
      </c>
      <c r="C5" s="10">
        <f>COUNTIFS(Review!$A$5:$A$139,A5,Review!$D$5:$D$139,"Yes")</f>
        <v>27</v>
      </c>
      <c r="D5" s="10">
        <f>COUNTIFS(Review!$A$5:$A$139,A5,Review!$D$5:$D$139,"No")</f>
        <v>0</v>
      </c>
      <c r="E5" s="10">
        <f>COUNTIFS(Review!$A$5:$A$139,A5,Review!$D$5:$D$139,"Unclear")</f>
        <v>0</v>
      </c>
      <c r="F5" s="18" t="s">
        <v>7</v>
      </c>
      <c r="G5" s="18" t="s">
        <v>7</v>
      </c>
      <c r="H5" s="18" t="s">
        <v>7</v>
      </c>
    </row>
    <row r="6" spans="1:8" ht="30" customHeight="1">
      <c r="A6" s="1" t="s">
        <v>9</v>
      </c>
      <c r="B6" s="10">
        <f>COUNTIF(Review!$A$5:$A$139,A6)</f>
        <v>36</v>
      </c>
      <c r="C6" s="10">
        <f>COUNTIFS(Review!$A$5:$A$139,A6,Review!$D$5:$D$139,"Yes")</f>
        <v>30</v>
      </c>
      <c r="D6" s="10">
        <f>COUNTIFS(Review!$A$5:$A$139,A6,Review!$D$5:$D$139,"No")</f>
        <v>1</v>
      </c>
      <c r="E6" s="10">
        <f>COUNTIFS(Review!$A$5:$A$139,A6,Review!$D$5:$D$139,"Unclear")</f>
        <v>5</v>
      </c>
      <c r="F6" s="19" t="s">
        <v>10</v>
      </c>
      <c r="G6" s="19" t="s">
        <v>10</v>
      </c>
      <c r="H6" s="19" t="s">
        <v>10</v>
      </c>
    </row>
    <row r="7" spans="1:8" ht="30" customHeight="1">
      <c r="A7" s="1" t="s">
        <v>11</v>
      </c>
      <c r="B7" s="10">
        <f>COUNTIF(Review!$A$5:$A$139,A7)</f>
        <v>36</v>
      </c>
      <c r="C7" s="10">
        <f>COUNTIFS(Review!$A$5:$A$139,A7,Review!$D$5:$D$139,"Yes")</f>
        <v>29</v>
      </c>
      <c r="D7" s="10">
        <f>COUNTIFS(Review!$A$5:$A$139,A7,Review!$D$5:$D$139,"No")</f>
        <v>4</v>
      </c>
      <c r="E7" s="10">
        <f>COUNTIFS(Review!$A$5:$A$139,A7,Review!$D$5:$D$139,"Unclear")</f>
        <v>3</v>
      </c>
      <c r="F7" s="19" t="s">
        <v>10</v>
      </c>
      <c r="G7" s="19" t="s">
        <v>10</v>
      </c>
      <c r="H7" s="19" t="s">
        <v>10</v>
      </c>
    </row>
    <row r="8" spans="1:8" ht="30" customHeight="1">
      <c r="A8" s="1" t="s">
        <v>12</v>
      </c>
      <c r="B8" s="10">
        <f>COUNTIF(Review!$A$5:$A$139,A8)</f>
        <v>36</v>
      </c>
      <c r="C8" s="10">
        <f>COUNTIFS(Review!$A$5:$A$139,A8,Review!$D$5:$D$139,"Yes")</f>
        <v>35</v>
      </c>
      <c r="D8" s="10">
        <f>COUNTIFS(Review!$A$5:$A$139,A8,Review!$D$5:$D$139,"No")</f>
        <v>0</v>
      </c>
      <c r="E8" s="10">
        <f>COUNTIFS(Review!$A$5:$A$139,A8,Review!$D$5:$D$139,"Unclear")</f>
        <v>1</v>
      </c>
      <c r="F8" s="20" t="s">
        <v>13</v>
      </c>
      <c r="G8" s="20" t="s">
        <v>13</v>
      </c>
      <c r="H8" s="20" t="s">
        <v>13</v>
      </c>
    </row>
    <row r="9" spans="1:8" ht="30" customHeight="1">
      <c r="A9" s="12" t="s">
        <v>14</v>
      </c>
      <c r="B9" s="13">
        <f>SUM(B5:B8)</f>
        <v>135</v>
      </c>
      <c r="C9" s="13">
        <f>SUM(C5:C8)</f>
        <v>121</v>
      </c>
      <c r="D9" s="13">
        <f>SUM(D5:D8)</f>
        <v>5</v>
      </c>
      <c r="E9" s="13">
        <f>SUM(E5:E8)</f>
        <v>9</v>
      </c>
      <c r="F9" s="20" t="s">
        <v>13</v>
      </c>
      <c r="G9" s="20" t="s">
        <v>13</v>
      </c>
      <c r="H9" s="20" t="s">
        <v>13</v>
      </c>
    </row>
    <row r="10" spans="1:8">
      <c r="A10" s="1"/>
      <c r="B10" s="1"/>
      <c r="C10" s="1"/>
      <c r="D10" s="1"/>
      <c r="E10" s="1"/>
      <c r="F10" s="1"/>
      <c r="G10" s="1"/>
      <c r="H10" s="1"/>
    </row>
    <row r="11" spans="1:8" ht="25" customHeight="1">
      <c r="A11" s="21" t="s">
        <v>15</v>
      </c>
      <c r="B11" s="21" t="s">
        <v>15</v>
      </c>
      <c r="C11" s="21" t="s">
        <v>15</v>
      </c>
      <c r="D11" s="21" t="s">
        <v>15</v>
      </c>
      <c r="E11" s="21" t="s">
        <v>15</v>
      </c>
      <c r="F11" s="21" t="s">
        <v>15</v>
      </c>
      <c r="G11" s="21" t="s">
        <v>15</v>
      </c>
      <c r="H11" s="21" t="s">
        <v>15</v>
      </c>
    </row>
    <row r="12" spans="1:8" ht="30" customHeight="1">
      <c r="A12" s="2" t="s">
        <v>16</v>
      </c>
      <c r="B12" s="2" t="s">
        <v>17</v>
      </c>
      <c r="C12" s="2" t="s">
        <v>18</v>
      </c>
      <c r="D12" s="22" t="s">
        <v>19</v>
      </c>
      <c r="E12" s="22" t="s">
        <v>19</v>
      </c>
      <c r="F12" s="22" t="s">
        <v>19</v>
      </c>
      <c r="G12" s="22" t="s">
        <v>19</v>
      </c>
      <c r="H12" s="22" t="s">
        <v>19</v>
      </c>
    </row>
    <row r="13" spans="1:8" ht="35" customHeight="1">
      <c r="A13" s="1" t="s">
        <v>20</v>
      </c>
      <c r="B13" s="14">
        <f>COUNTIF(Review!$E$5:$E$139,A13)</f>
        <v>83</v>
      </c>
      <c r="C13" s="14" t="s">
        <v>4</v>
      </c>
      <c r="D13" s="17" t="s">
        <v>21</v>
      </c>
      <c r="E13" s="17" t="s">
        <v>21</v>
      </c>
      <c r="F13" s="17" t="s">
        <v>21</v>
      </c>
      <c r="G13" s="17" t="s">
        <v>21</v>
      </c>
      <c r="H13" s="17" t="s">
        <v>21</v>
      </c>
    </row>
    <row r="14" spans="1:8" ht="35" customHeight="1">
      <c r="A14" s="1" t="s">
        <v>22</v>
      </c>
      <c r="B14" s="14">
        <f>COUNTIF(Review!$E$5:$E$139,A14)</f>
        <v>19</v>
      </c>
      <c r="C14" s="14" t="s">
        <v>4</v>
      </c>
      <c r="D14" s="17" t="s">
        <v>23</v>
      </c>
      <c r="E14" s="17" t="s">
        <v>23</v>
      </c>
      <c r="F14" s="17" t="s">
        <v>23</v>
      </c>
      <c r="G14" s="17" t="s">
        <v>23</v>
      </c>
      <c r="H14" s="17" t="s">
        <v>23</v>
      </c>
    </row>
    <row r="15" spans="1:8" ht="35" customHeight="1">
      <c r="A15" s="1" t="s">
        <v>24</v>
      </c>
      <c r="B15" s="14">
        <f>COUNTIF(Review!$E$5:$E$139,A15)</f>
        <v>19</v>
      </c>
      <c r="C15" s="14" t="s">
        <v>4</v>
      </c>
      <c r="D15" s="17" t="s">
        <v>25</v>
      </c>
      <c r="E15" s="17" t="s">
        <v>25</v>
      </c>
      <c r="F15" s="17" t="s">
        <v>25</v>
      </c>
      <c r="G15" s="17" t="s">
        <v>25</v>
      </c>
      <c r="H15" s="17" t="s">
        <v>25</v>
      </c>
    </row>
    <row r="16" spans="1:8" ht="35" customHeight="1">
      <c r="A16" s="1" t="s">
        <v>26</v>
      </c>
      <c r="B16" s="14">
        <f>COUNTIF(Review!$E$5:$E$139,A16)</f>
        <v>5</v>
      </c>
      <c r="C16" s="14" t="s">
        <v>5</v>
      </c>
      <c r="D16" s="17" t="s">
        <v>27</v>
      </c>
      <c r="E16" s="17" t="s">
        <v>27</v>
      </c>
      <c r="F16" s="17" t="s">
        <v>27</v>
      </c>
      <c r="G16" s="17" t="s">
        <v>27</v>
      </c>
      <c r="H16" s="17" t="s">
        <v>27</v>
      </c>
    </row>
    <row r="17" spans="1:8" ht="35" customHeight="1">
      <c r="A17" s="1" t="s">
        <v>28</v>
      </c>
      <c r="B17" s="14">
        <f>COUNTIF(Review!$E$5:$E$139,A17)</f>
        <v>3</v>
      </c>
      <c r="C17" s="14" t="s">
        <v>6</v>
      </c>
      <c r="D17" s="17" t="s">
        <v>29</v>
      </c>
      <c r="E17" s="17" t="s">
        <v>29</v>
      </c>
      <c r="F17" s="17" t="s">
        <v>29</v>
      </c>
      <c r="G17" s="17" t="s">
        <v>29</v>
      </c>
      <c r="H17" s="17" t="s">
        <v>29</v>
      </c>
    </row>
    <row r="18" spans="1:8" ht="35" customHeight="1">
      <c r="A18" s="1" t="s">
        <v>30</v>
      </c>
      <c r="B18" s="14">
        <f>COUNTIF(Review!$E$5:$E$139,A18)</f>
        <v>6</v>
      </c>
      <c r="C18" s="14" t="s">
        <v>6</v>
      </c>
      <c r="D18" s="17" t="s">
        <v>31</v>
      </c>
      <c r="E18" s="17" t="s">
        <v>31</v>
      </c>
      <c r="F18" s="17" t="s">
        <v>31</v>
      </c>
      <c r="G18" s="17" t="s">
        <v>31</v>
      </c>
      <c r="H18" s="17" t="s">
        <v>31</v>
      </c>
    </row>
    <row r="19" spans="1:8">
      <c r="A19" s="1"/>
      <c r="B19" s="1"/>
      <c r="C19" s="1"/>
      <c r="D19" s="1"/>
      <c r="E19" s="1"/>
      <c r="F19" s="1"/>
      <c r="G19" s="1"/>
      <c r="H19" s="1"/>
    </row>
    <row r="20" spans="1:8" ht="25" customHeight="1">
      <c r="A20" s="21" t="s">
        <v>32</v>
      </c>
      <c r="B20" s="21" t="s">
        <v>32</v>
      </c>
      <c r="C20" s="21" t="s">
        <v>32</v>
      </c>
      <c r="D20" s="21" t="s">
        <v>32</v>
      </c>
      <c r="E20" s="21" t="s">
        <v>32</v>
      </c>
      <c r="F20" s="21" t="s">
        <v>32</v>
      </c>
      <c r="G20" s="21" t="s">
        <v>32</v>
      </c>
      <c r="H20" s="21" t="s">
        <v>32</v>
      </c>
    </row>
    <row r="21" spans="1:8" ht="42" customHeight="1">
      <c r="A21" s="17" t="s">
        <v>33</v>
      </c>
      <c r="B21" s="17" t="s">
        <v>33</v>
      </c>
      <c r="C21" s="17" t="s">
        <v>33</v>
      </c>
      <c r="D21" s="17" t="s">
        <v>33</v>
      </c>
      <c r="E21" s="17" t="s">
        <v>33</v>
      </c>
      <c r="F21" s="17" t="s">
        <v>33</v>
      </c>
      <c r="G21" s="17" t="s">
        <v>33</v>
      </c>
      <c r="H21" s="17" t="s">
        <v>33</v>
      </c>
    </row>
    <row r="22" spans="1:8" ht="42" customHeight="1">
      <c r="A22" s="23" t="s">
        <v>34</v>
      </c>
      <c r="B22" s="23" t="s">
        <v>34</v>
      </c>
      <c r="C22" s="23" t="s">
        <v>34</v>
      </c>
      <c r="D22" s="23" t="s">
        <v>34</v>
      </c>
      <c r="E22" s="23" t="s">
        <v>34</v>
      </c>
      <c r="F22" s="23" t="s">
        <v>34</v>
      </c>
      <c r="G22" s="23" t="s">
        <v>34</v>
      </c>
      <c r="H22" s="23" t="s">
        <v>34</v>
      </c>
    </row>
    <row r="23" spans="1:8" ht="42" customHeight="1">
      <c r="A23" s="17" t="s">
        <v>35</v>
      </c>
      <c r="B23" s="17" t="s">
        <v>35</v>
      </c>
      <c r="C23" s="17" t="s">
        <v>35</v>
      </c>
      <c r="D23" s="17" t="s">
        <v>35</v>
      </c>
      <c r="E23" s="17" t="s">
        <v>35</v>
      </c>
      <c r="F23" s="17" t="s">
        <v>35</v>
      </c>
      <c r="G23" s="17" t="s">
        <v>35</v>
      </c>
      <c r="H23" s="17" t="s">
        <v>35</v>
      </c>
    </row>
    <row r="24" spans="1:8" ht="42" customHeight="1">
      <c r="A24" s="23" t="s">
        <v>36</v>
      </c>
      <c r="B24" s="23" t="s">
        <v>36</v>
      </c>
      <c r="C24" s="23" t="s">
        <v>36</v>
      </c>
      <c r="D24" s="23" t="s">
        <v>36</v>
      </c>
      <c r="E24" s="23" t="s">
        <v>36</v>
      </c>
      <c r="F24" s="23" t="s">
        <v>36</v>
      </c>
      <c r="G24" s="23" t="s">
        <v>36</v>
      </c>
      <c r="H24" s="23" t="s">
        <v>36</v>
      </c>
    </row>
    <row r="25" spans="1:8" ht="42" customHeight="1">
      <c r="A25" s="17" t="s">
        <v>37</v>
      </c>
      <c r="B25" s="17" t="s">
        <v>37</v>
      </c>
      <c r="C25" s="17" t="s">
        <v>37</v>
      </c>
      <c r="D25" s="17" t="s">
        <v>37</v>
      </c>
      <c r="E25" s="17" t="s">
        <v>37</v>
      </c>
      <c r="F25" s="17" t="s">
        <v>37</v>
      </c>
      <c r="G25" s="17" t="s">
        <v>37</v>
      </c>
      <c r="H25" s="17" t="s">
        <v>37</v>
      </c>
    </row>
    <row r="26" spans="1:8">
      <c r="A26" s="1"/>
      <c r="B26" s="1"/>
      <c r="C26" s="1"/>
      <c r="D26" s="1"/>
      <c r="E26" s="1"/>
      <c r="F26" s="1"/>
      <c r="G26" s="1"/>
      <c r="H26" s="1"/>
    </row>
    <row r="27" spans="1:8" ht="25" customHeight="1"/>
    <row r="28" spans="1:8" ht="43" customHeight="1"/>
    <row r="29" spans="1:8" ht="43" customHeight="1"/>
    <row r="30" spans="1:8" ht="43" customHeight="1"/>
    <row r="31" spans="1:8" ht="43" customHeight="1"/>
    <row r="32" spans="1:8" ht="43" customHeight="1"/>
    <row r="33" spans="1:8" ht="43" customHeight="1"/>
    <row r="34" spans="1:8" ht="43" customHeight="1"/>
    <row r="35" spans="1:8">
      <c r="A35" s="1"/>
      <c r="B35" s="1"/>
      <c r="C35" s="1"/>
      <c r="D35" s="1"/>
      <c r="E35" s="1"/>
      <c r="F35" s="1"/>
      <c r="G35" s="1"/>
      <c r="H35" s="1"/>
    </row>
    <row r="36" spans="1:8" ht="25" customHeight="1"/>
    <row r="37" spans="1:8" ht="40" customHeight="1"/>
    <row r="38" spans="1:8" ht="40" customHeight="1"/>
    <row r="39" spans="1:8" ht="37" customHeight="1"/>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row r="46" spans="1:8">
      <c r="A46" s="1"/>
      <c r="B46" s="1"/>
      <c r="C46" s="1"/>
      <c r="D46" s="1"/>
      <c r="E46" s="1"/>
      <c r="F46" s="1"/>
      <c r="G46" s="1"/>
      <c r="H46" s="1"/>
    </row>
    <row r="47" spans="1:8">
      <c r="A47" s="1"/>
      <c r="B47" s="1"/>
      <c r="C47" s="1"/>
      <c r="D47" s="1"/>
      <c r="E47" s="1"/>
      <c r="F47" s="1"/>
      <c r="G47" s="1"/>
      <c r="H47" s="1"/>
    </row>
    <row r="48" spans="1:8">
      <c r="A48" s="1"/>
      <c r="B48" s="1"/>
      <c r="C48" s="1"/>
      <c r="D48" s="1"/>
      <c r="E48" s="1"/>
      <c r="F48" s="1"/>
      <c r="G48" s="1"/>
      <c r="H48" s="1"/>
    </row>
    <row r="49" spans="1:8">
      <c r="A49" s="1"/>
      <c r="B49" s="1"/>
      <c r="C49" s="1"/>
      <c r="D49" s="1"/>
      <c r="E49" s="1"/>
      <c r="F49" s="1"/>
      <c r="G49" s="1"/>
      <c r="H49" s="1"/>
    </row>
    <row r="50" spans="1:8">
      <c r="A50" s="1"/>
      <c r="B50" s="1"/>
      <c r="C50" s="1"/>
      <c r="D50" s="1"/>
      <c r="E50" s="1"/>
      <c r="F50" s="1"/>
      <c r="G50" s="1"/>
      <c r="H50" s="1"/>
    </row>
  </sheetData>
  <mergeCells count="19">
    <mergeCell ref="A25:H25"/>
    <mergeCell ref="A20:H20"/>
    <mergeCell ref="A21:H21"/>
    <mergeCell ref="A22:H22"/>
    <mergeCell ref="A23:H23"/>
    <mergeCell ref="A24:H24"/>
    <mergeCell ref="D14:H14"/>
    <mergeCell ref="D15:H15"/>
    <mergeCell ref="D16:H16"/>
    <mergeCell ref="D17:H17"/>
    <mergeCell ref="D18:H18"/>
    <mergeCell ref="F6:H7"/>
    <mergeCell ref="F8:H9"/>
    <mergeCell ref="A11:H11"/>
    <mergeCell ref="D12:H12"/>
    <mergeCell ref="D13:H13"/>
    <mergeCell ref="A1:H1"/>
    <mergeCell ref="A2:H2"/>
    <mergeCell ref="F4: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76B6E"/>
  </sheetPr>
  <dimension ref="A1:L139"/>
  <sheetViews>
    <sheetView showGridLines="0" workbookViewId="0">
      <pane xSplit="3" ySplit="4" topLeftCell="D5" activePane="bottomRight" state="frozen"/>
      <selection pane="topRight"/>
      <selection pane="bottomLeft"/>
      <selection pane="bottomRight" activeCell="F68" sqref="F68"/>
    </sheetView>
  </sheetViews>
  <sheetFormatPr defaultRowHeight="14"/>
  <cols>
    <col min="1" max="1" width="10" customWidth="1"/>
    <col min="2" max="2" width="7.25" customWidth="1"/>
    <col min="3" max="3" width="10.58203125" customWidth="1"/>
    <col min="4" max="4" width="8.33203125" customWidth="1"/>
    <col min="5" max="5" width="13.33203125" customWidth="1"/>
    <col min="6" max="6" width="63.9140625" customWidth="1"/>
    <col min="7" max="7" width="55.58203125" customWidth="1"/>
    <col min="8" max="8" width="29.4140625" customWidth="1"/>
    <col min="9" max="9" width="20.58203125" customWidth="1"/>
    <col min="10" max="10" width="12.75" customWidth="1"/>
    <col min="11" max="11" width="10" customWidth="1"/>
    <col min="12" max="12" width="11.08203125" customWidth="1"/>
  </cols>
  <sheetData>
    <row r="1" spans="1:12" ht="32" customHeight="1">
      <c r="A1" s="15" t="s">
        <v>38</v>
      </c>
      <c r="B1" s="15" t="s">
        <v>38</v>
      </c>
      <c r="C1" s="15" t="s">
        <v>38</v>
      </c>
      <c r="D1" s="15" t="s">
        <v>38</v>
      </c>
      <c r="E1" s="15" t="s">
        <v>38</v>
      </c>
      <c r="F1" s="15" t="s">
        <v>38</v>
      </c>
      <c r="G1" s="15" t="s">
        <v>38</v>
      </c>
      <c r="H1" s="15" t="s">
        <v>38</v>
      </c>
      <c r="I1" s="15" t="s">
        <v>38</v>
      </c>
      <c r="J1" s="15" t="s">
        <v>38</v>
      </c>
      <c r="K1" s="15" t="s">
        <v>38</v>
      </c>
      <c r="L1" s="15" t="s">
        <v>38</v>
      </c>
    </row>
    <row r="2" spans="1:12" ht="30" customHeight="1">
      <c r="A2" s="17" t="s">
        <v>39</v>
      </c>
      <c r="B2" s="17" t="s">
        <v>39</v>
      </c>
      <c r="C2" s="17" t="s">
        <v>39</v>
      </c>
      <c r="D2" s="17" t="s">
        <v>39</v>
      </c>
      <c r="E2" s="17" t="s">
        <v>39</v>
      </c>
      <c r="F2" s="17" t="s">
        <v>39</v>
      </c>
      <c r="G2" s="17" t="s">
        <v>39</v>
      </c>
      <c r="H2" s="17" t="s">
        <v>39</v>
      </c>
      <c r="I2" s="17" t="s">
        <v>39</v>
      </c>
      <c r="J2" s="17" t="s">
        <v>39</v>
      </c>
      <c r="K2" s="17" t="s">
        <v>39</v>
      </c>
      <c r="L2" s="17" t="s">
        <v>39</v>
      </c>
    </row>
    <row r="3" spans="1:12">
      <c r="A3" s="1"/>
      <c r="B3" s="1"/>
      <c r="C3" s="1"/>
      <c r="D3" s="1"/>
      <c r="E3" s="1"/>
      <c r="F3" s="1"/>
      <c r="G3" s="1"/>
      <c r="H3" s="1"/>
      <c r="I3" s="1"/>
      <c r="J3" s="1"/>
      <c r="K3" s="1"/>
      <c r="L3" s="1"/>
    </row>
    <row r="4" spans="1:12" ht="30" customHeight="1">
      <c r="A4" s="2" t="s">
        <v>2</v>
      </c>
      <c r="B4" s="2" t="s">
        <v>40</v>
      </c>
      <c r="C4" s="2" t="s">
        <v>41</v>
      </c>
      <c r="D4" s="2" t="s">
        <v>18</v>
      </c>
      <c r="E4" s="2" t="s">
        <v>16</v>
      </c>
      <c r="F4" s="2" t="s">
        <v>42</v>
      </c>
      <c r="G4" s="2" t="s">
        <v>43</v>
      </c>
      <c r="H4" s="2" t="s">
        <v>44</v>
      </c>
      <c r="I4" s="2" t="s">
        <v>45</v>
      </c>
      <c r="J4" s="2" t="s">
        <v>46</v>
      </c>
      <c r="K4" s="2" t="s">
        <v>47</v>
      </c>
      <c r="L4" s="2" t="s">
        <v>48</v>
      </c>
    </row>
    <row r="5" spans="1:12" ht="102" customHeight="1">
      <c r="A5" s="1" t="s">
        <v>8</v>
      </c>
      <c r="B5" s="1" t="s">
        <v>49</v>
      </c>
      <c r="C5" s="4" t="s">
        <v>50</v>
      </c>
      <c r="D5" s="1" t="s">
        <v>4</v>
      </c>
      <c r="E5" s="1" t="s">
        <v>22</v>
      </c>
      <c r="F5" s="1" t="s">
        <v>51</v>
      </c>
      <c r="G5" s="1" t="s">
        <v>52</v>
      </c>
      <c r="H5" s="1" t="s">
        <v>53</v>
      </c>
      <c r="I5" s="1" t="s">
        <v>54</v>
      </c>
      <c r="J5" s="6">
        <v>0.66710144281387329</v>
      </c>
      <c r="K5" s="8">
        <v>1</v>
      </c>
      <c r="L5" s="8">
        <v>6</v>
      </c>
    </row>
    <row r="6" spans="1:12" ht="102" customHeight="1">
      <c r="A6" s="3" t="s">
        <v>8</v>
      </c>
      <c r="B6" s="3" t="s">
        <v>49</v>
      </c>
      <c r="C6" s="5" t="s">
        <v>55</v>
      </c>
      <c r="D6" s="3" t="s">
        <v>4</v>
      </c>
      <c r="E6" s="3" t="s">
        <v>22</v>
      </c>
      <c r="F6" s="3" t="s">
        <v>56</v>
      </c>
      <c r="G6" s="3" t="s">
        <v>57</v>
      </c>
      <c r="H6" s="3" t="s">
        <v>53</v>
      </c>
      <c r="I6" s="3" t="s">
        <v>54</v>
      </c>
      <c r="J6" s="7">
        <v>0.51055723428726196</v>
      </c>
      <c r="K6" s="9">
        <v>2</v>
      </c>
      <c r="L6" s="9">
        <v>13</v>
      </c>
    </row>
    <row r="7" spans="1:12" ht="102" customHeight="1">
      <c r="A7" s="1" t="s">
        <v>8</v>
      </c>
      <c r="B7" s="1" t="s">
        <v>49</v>
      </c>
      <c r="C7" s="4" t="s">
        <v>58</v>
      </c>
      <c r="D7" s="1" t="s">
        <v>4</v>
      </c>
      <c r="E7" s="1" t="s">
        <v>22</v>
      </c>
      <c r="F7" s="1" t="s">
        <v>59</v>
      </c>
      <c r="G7" s="1" t="s">
        <v>60</v>
      </c>
      <c r="H7" s="1" t="s">
        <v>53</v>
      </c>
      <c r="I7" s="1" t="s">
        <v>54</v>
      </c>
      <c r="J7" s="6">
        <v>0.49900653958320618</v>
      </c>
      <c r="K7" s="8">
        <v>3</v>
      </c>
      <c r="L7" s="8">
        <v>17</v>
      </c>
    </row>
    <row r="8" spans="1:12" ht="102" customHeight="1">
      <c r="A8" s="3" t="s">
        <v>8</v>
      </c>
      <c r="B8" s="3" t="s">
        <v>61</v>
      </c>
      <c r="C8" s="5" t="s">
        <v>62</v>
      </c>
      <c r="D8" s="3" t="s">
        <v>4</v>
      </c>
      <c r="E8" s="3" t="s">
        <v>24</v>
      </c>
      <c r="F8" s="3" t="s">
        <v>63</v>
      </c>
      <c r="G8" s="3" t="s">
        <v>64</v>
      </c>
      <c r="H8" s="3" t="s">
        <v>65</v>
      </c>
      <c r="I8" s="3" t="s">
        <v>66</v>
      </c>
      <c r="J8" s="7">
        <v>0.81526738405227661</v>
      </c>
      <c r="K8" s="9">
        <v>4</v>
      </c>
      <c r="L8" s="9">
        <v>20</v>
      </c>
    </row>
    <row r="9" spans="1:12" ht="102" customHeight="1">
      <c r="A9" s="1" t="s">
        <v>8</v>
      </c>
      <c r="B9" s="1" t="s">
        <v>61</v>
      </c>
      <c r="C9" s="4" t="s">
        <v>67</v>
      </c>
      <c r="D9" s="1" t="s">
        <v>4</v>
      </c>
      <c r="E9" s="1" t="s">
        <v>24</v>
      </c>
      <c r="F9" s="1" t="s">
        <v>68</v>
      </c>
      <c r="G9" s="1" t="s">
        <v>69</v>
      </c>
      <c r="H9" s="1" t="s">
        <v>65</v>
      </c>
      <c r="I9" s="1" t="s">
        <v>66</v>
      </c>
      <c r="J9" s="6">
        <v>0.81526738405227661</v>
      </c>
      <c r="K9" s="8">
        <v>5</v>
      </c>
      <c r="L9" s="8">
        <v>21</v>
      </c>
    </row>
    <row r="10" spans="1:12" ht="102" customHeight="1">
      <c r="A10" s="3" t="s">
        <v>8</v>
      </c>
      <c r="B10" s="3" t="s">
        <v>61</v>
      </c>
      <c r="C10" s="5" t="s">
        <v>70</v>
      </c>
      <c r="D10" s="3" t="s">
        <v>4</v>
      </c>
      <c r="E10" s="3" t="s">
        <v>24</v>
      </c>
      <c r="F10" s="3" t="s">
        <v>71</v>
      </c>
      <c r="G10" s="3" t="s">
        <v>72</v>
      </c>
      <c r="H10" s="3" t="s">
        <v>65</v>
      </c>
      <c r="I10" s="3" t="s">
        <v>66</v>
      </c>
      <c r="J10" s="7">
        <v>0.81526738405227661</v>
      </c>
      <c r="K10" s="9">
        <v>6</v>
      </c>
      <c r="L10" s="9">
        <v>22</v>
      </c>
    </row>
    <row r="11" spans="1:12" ht="102" customHeight="1">
      <c r="A11" s="1" t="s">
        <v>8</v>
      </c>
      <c r="B11" s="1" t="s">
        <v>73</v>
      </c>
      <c r="C11" s="4" t="s">
        <v>74</v>
      </c>
      <c r="D11" s="1" t="s">
        <v>4</v>
      </c>
      <c r="E11" s="1" t="s">
        <v>20</v>
      </c>
      <c r="F11" s="1" t="s">
        <v>75</v>
      </c>
      <c r="G11" s="1" t="s">
        <v>76</v>
      </c>
      <c r="H11" s="1" t="s">
        <v>77</v>
      </c>
      <c r="I11" s="1" t="s">
        <v>78</v>
      </c>
      <c r="J11" s="6">
        <v>0.38671314716339111</v>
      </c>
      <c r="K11" s="8">
        <v>7</v>
      </c>
      <c r="L11" s="8">
        <v>23</v>
      </c>
    </row>
    <row r="12" spans="1:12" ht="102" customHeight="1">
      <c r="A12" s="3" t="s">
        <v>8</v>
      </c>
      <c r="B12" s="3" t="s">
        <v>73</v>
      </c>
      <c r="C12" s="5" t="s">
        <v>79</v>
      </c>
      <c r="D12" s="3" t="s">
        <v>4</v>
      </c>
      <c r="E12" s="3" t="s">
        <v>20</v>
      </c>
      <c r="F12" s="3" t="s">
        <v>80</v>
      </c>
      <c r="G12" s="3" t="s">
        <v>81</v>
      </c>
      <c r="H12" s="3" t="s">
        <v>77</v>
      </c>
      <c r="I12" s="3" t="s">
        <v>78</v>
      </c>
      <c r="J12" s="7">
        <v>0.31539449095726013</v>
      </c>
      <c r="K12" s="9">
        <v>8</v>
      </c>
      <c r="L12" s="9">
        <v>24</v>
      </c>
    </row>
    <row r="13" spans="1:12" ht="102" customHeight="1">
      <c r="A13" s="1" t="s">
        <v>8</v>
      </c>
      <c r="B13" s="1" t="s">
        <v>73</v>
      </c>
      <c r="C13" s="4" t="s">
        <v>82</v>
      </c>
      <c r="D13" s="1" t="s">
        <v>4</v>
      </c>
      <c r="E13" s="1" t="s">
        <v>20</v>
      </c>
      <c r="F13" s="1" t="s">
        <v>83</v>
      </c>
      <c r="G13" s="1" t="s">
        <v>84</v>
      </c>
      <c r="H13" s="1" t="s">
        <v>77</v>
      </c>
      <c r="I13" s="1" t="s">
        <v>78</v>
      </c>
      <c r="J13" s="6">
        <v>0.29078748822212219</v>
      </c>
      <c r="K13" s="8">
        <v>9</v>
      </c>
      <c r="L13" s="8">
        <v>25</v>
      </c>
    </row>
    <row r="14" spans="1:12" ht="102" customHeight="1">
      <c r="A14" s="3" t="s">
        <v>8</v>
      </c>
      <c r="B14" s="3" t="s">
        <v>85</v>
      </c>
      <c r="C14" s="5" t="s">
        <v>86</v>
      </c>
      <c r="D14" s="3" t="s">
        <v>4</v>
      </c>
      <c r="E14" s="3" t="s">
        <v>20</v>
      </c>
      <c r="F14" s="3" t="s">
        <v>87</v>
      </c>
      <c r="G14" s="3" t="s">
        <v>88</v>
      </c>
      <c r="H14" s="3" t="s">
        <v>89</v>
      </c>
      <c r="I14" s="3" t="s">
        <v>90</v>
      </c>
      <c r="J14" s="7">
        <v>0.33865159749984741</v>
      </c>
      <c r="K14" s="9">
        <v>10</v>
      </c>
      <c r="L14" s="9">
        <v>26</v>
      </c>
    </row>
    <row r="15" spans="1:12" ht="102" customHeight="1">
      <c r="A15" s="1" t="s">
        <v>8</v>
      </c>
      <c r="B15" s="1" t="s">
        <v>85</v>
      </c>
      <c r="C15" s="4" t="s">
        <v>91</v>
      </c>
      <c r="D15" s="1" t="s">
        <v>4</v>
      </c>
      <c r="E15" s="1" t="s">
        <v>22</v>
      </c>
      <c r="F15" s="1" t="s">
        <v>92</v>
      </c>
      <c r="G15" s="1" t="s">
        <v>93</v>
      </c>
      <c r="H15" s="1" t="s">
        <v>89</v>
      </c>
      <c r="I15" s="1" t="s">
        <v>90</v>
      </c>
      <c r="J15" s="6">
        <v>0.32960435748100281</v>
      </c>
      <c r="K15" s="8">
        <v>11</v>
      </c>
      <c r="L15" s="8">
        <v>29</v>
      </c>
    </row>
    <row r="16" spans="1:12" ht="102" customHeight="1">
      <c r="A16" s="3" t="s">
        <v>8</v>
      </c>
      <c r="B16" s="3" t="s">
        <v>85</v>
      </c>
      <c r="C16" s="5" t="s">
        <v>94</v>
      </c>
      <c r="D16" s="3" t="s">
        <v>4</v>
      </c>
      <c r="E16" s="3" t="s">
        <v>20</v>
      </c>
      <c r="F16" s="3" t="s">
        <v>95</v>
      </c>
      <c r="G16" s="3" t="s">
        <v>96</v>
      </c>
      <c r="H16" s="3" t="s">
        <v>89</v>
      </c>
      <c r="I16" s="3" t="s">
        <v>90</v>
      </c>
      <c r="J16" s="7">
        <v>0.31592541933059692</v>
      </c>
      <c r="K16" s="9">
        <v>12</v>
      </c>
      <c r="L16" s="9">
        <v>32</v>
      </c>
    </row>
    <row r="17" spans="1:12" ht="102" customHeight="1">
      <c r="A17" s="1" t="s">
        <v>8</v>
      </c>
      <c r="B17" s="1" t="s">
        <v>97</v>
      </c>
      <c r="C17" s="4" t="s">
        <v>98</v>
      </c>
      <c r="D17" s="1" t="s">
        <v>4</v>
      </c>
      <c r="E17" s="1" t="s">
        <v>20</v>
      </c>
      <c r="F17" s="1" t="s">
        <v>99</v>
      </c>
      <c r="G17" s="1" t="s">
        <v>100</v>
      </c>
      <c r="H17" s="1" t="s">
        <v>101</v>
      </c>
      <c r="I17" s="1" t="s">
        <v>102</v>
      </c>
      <c r="J17" s="6">
        <v>0.44379150867462158</v>
      </c>
      <c r="K17" s="8">
        <v>13</v>
      </c>
      <c r="L17" s="8">
        <v>35</v>
      </c>
    </row>
    <row r="18" spans="1:12" ht="102" customHeight="1">
      <c r="A18" s="3" t="s">
        <v>8</v>
      </c>
      <c r="B18" s="3" t="s">
        <v>97</v>
      </c>
      <c r="C18" s="5" t="s">
        <v>103</v>
      </c>
      <c r="D18" s="3" t="s">
        <v>4</v>
      </c>
      <c r="E18" s="3" t="s">
        <v>20</v>
      </c>
      <c r="F18" s="3" t="s">
        <v>104</v>
      </c>
      <c r="G18" s="3" t="s">
        <v>105</v>
      </c>
      <c r="H18" s="3" t="s">
        <v>101</v>
      </c>
      <c r="I18" s="3" t="s">
        <v>102</v>
      </c>
      <c r="J18" s="7">
        <v>0.4217069149017334</v>
      </c>
      <c r="K18" s="9">
        <v>14</v>
      </c>
      <c r="L18" s="9">
        <v>37</v>
      </c>
    </row>
    <row r="19" spans="1:12" ht="102" customHeight="1">
      <c r="A19" s="1" t="s">
        <v>8</v>
      </c>
      <c r="B19" s="1" t="s">
        <v>97</v>
      </c>
      <c r="C19" s="4" t="s">
        <v>106</v>
      </c>
      <c r="D19" s="1" t="s">
        <v>4</v>
      </c>
      <c r="E19" s="1" t="s">
        <v>20</v>
      </c>
      <c r="F19" s="1" t="s">
        <v>107</v>
      </c>
      <c r="G19" s="1" t="s">
        <v>108</v>
      </c>
      <c r="H19" s="1" t="s">
        <v>101</v>
      </c>
      <c r="I19" s="1" t="s">
        <v>102</v>
      </c>
      <c r="J19" s="6">
        <v>0.37619566917419434</v>
      </c>
      <c r="K19" s="8">
        <v>15</v>
      </c>
      <c r="L19" s="8">
        <v>38</v>
      </c>
    </row>
    <row r="20" spans="1:12" ht="102" customHeight="1">
      <c r="A20" s="3" t="s">
        <v>8</v>
      </c>
      <c r="B20" s="3" t="s">
        <v>109</v>
      </c>
      <c r="C20" s="5" t="s">
        <v>110</v>
      </c>
      <c r="D20" s="3" t="s">
        <v>4</v>
      </c>
      <c r="E20" s="3" t="s">
        <v>20</v>
      </c>
      <c r="F20" s="3" t="s">
        <v>111</v>
      </c>
      <c r="G20" s="3" t="s">
        <v>112</v>
      </c>
      <c r="H20" s="3" t="s">
        <v>113</v>
      </c>
      <c r="I20" s="3" t="s">
        <v>114</v>
      </c>
      <c r="J20" s="7">
        <v>0.27733954787254333</v>
      </c>
      <c r="K20" s="9">
        <v>16</v>
      </c>
      <c r="L20" s="9">
        <v>41</v>
      </c>
    </row>
    <row r="21" spans="1:12" ht="102" customHeight="1">
      <c r="A21" s="1" t="s">
        <v>8</v>
      </c>
      <c r="B21" s="1" t="s">
        <v>109</v>
      </c>
      <c r="C21" s="4" t="s">
        <v>115</v>
      </c>
      <c r="D21" s="1" t="s">
        <v>4</v>
      </c>
      <c r="E21" s="1" t="s">
        <v>20</v>
      </c>
      <c r="F21" s="1" t="s">
        <v>116</v>
      </c>
      <c r="G21" s="1" t="s">
        <v>117</v>
      </c>
      <c r="H21" s="1" t="s">
        <v>113</v>
      </c>
      <c r="I21" s="1" t="s">
        <v>114</v>
      </c>
      <c r="J21" s="6">
        <v>0.23920926451683044</v>
      </c>
      <c r="K21" s="8">
        <v>17</v>
      </c>
      <c r="L21" s="8">
        <v>42</v>
      </c>
    </row>
    <row r="22" spans="1:12" ht="102" customHeight="1">
      <c r="A22" s="3" t="s">
        <v>8</v>
      </c>
      <c r="B22" s="3" t="s">
        <v>109</v>
      </c>
      <c r="C22" s="5" t="s">
        <v>118</v>
      </c>
      <c r="D22" s="3" t="s">
        <v>4</v>
      </c>
      <c r="E22" s="3" t="s">
        <v>22</v>
      </c>
      <c r="F22" s="3" t="s">
        <v>119</v>
      </c>
      <c r="G22" s="3" t="s">
        <v>120</v>
      </c>
      <c r="H22" s="3" t="s">
        <v>113</v>
      </c>
      <c r="I22" s="3" t="s">
        <v>114</v>
      </c>
      <c r="J22" s="7">
        <v>0.19702878594398499</v>
      </c>
      <c r="K22" s="9">
        <v>18</v>
      </c>
      <c r="L22" s="9">
        <v>43</v>
      </c>
    </row>
    <row r="23" spans="1:12" ht="102" customHeight="1">
      <c r="A23" s="1" t="s">
        <v>8</v>
      </c>
      <c r="B23" s="1" t="s">
        <v>121</v>
      </c>
      <c r="C23" s="4" t="s">
        <v>122</v>
      </c>
      <c r="D23" s="1" t="s">
        <v>4</v>
      </c>
      <c r="E23" s="1" t="s">
        <v>20</v>
      </c>
      <c r="F23" s="1" t="s">
        <v>123</v>
      </c>
      <c r="G23" s="1" t="s">
        <v>124</v>
      </c>
      <c r="H23" s="1" t="s">
        <v>125</v>
      </c>
      <c r="I23" s="1" t="s">
        <v>126</v>
      </c>
      <c r="J23" s="6">
        <v>0.3864973783493042</v>
      </c>
      <c r="K23" s="8">
        <v>19</v>
      </c>
      <c r="L23" s="8">
        <v>44</v>
      </c>
    </row>
    <row r="24" spans="1:12" ht="102" customHeight="1">
      <c r="A24" s="3" t="s">
        <v>8</v>
      </c>
      <c r="B24" s="3" t="s">
        <v>121</v>
      </c>
      <c r="C24" s="5" t="s">
        <v>127</v>
      </c>
      <c r="D24" s="3" t="s">
        <v>4</v>
      </c>
      <c r="E24" s="3" t="s">
        <v>20</v>
      </c>
      <c r="F24" s="3" t="s">
        <v>128</v>
      </c>
      <c r="G24" s="3" t="s">
        <v>129</v>
      </c>
      <c r="H24" s="3" t="s">
        <v>125</v>
      </c>
      <c r="I24" s="3" t="s">
        <v>126</v>
      </c>
      <c r="J24" s="7">
        <v>0.30418464541435242</v>
      </c>
      <c r="K24" s="9">
        <v>20</v>
      </c>
      <c r="L24" s="9">
        <v>45</v>
      </c>
    </row>
    <row r="25" spans="1:12" ht="102" customHeight="1">
      <c r="A25" s="1" t="s">
        <v>8</v>
      </c>
      <c r="B25" s="1" t="s">
        <v>121</v>
      </c>
      <c r="C25" s="4" t="s">
        <v>130</v>
      </c>
      <c r="D25" s="1" t="s">
        <v>4</v>
      </c>
      <c r="E25" s="1" t="s">
        <v>20</v>
      </c>
      <c r="F25" s="1" t="s">
        <v>131</v>
      </c>
      <c r="G25" s="1" t="s">
        <v>132</v>
      </c>
      <c r="H25" s="1" t="s">
        <v>125</v>
      </c>
      <c r="I25" s="1" t="s">
        <v>126</v>
      </c>
      <c r="J25" s="6">
        <v>0.26168322563171387</v>
      </c>
      <c r="K25" s="8">
        <v>21</v>
      </c>
      <c r="L25" s="8">
        <v>46</v>
      </c>
    </row>
    <row r="26" spans="1:12" ht="102" customHeight="1">
      <c r="A26" s="3" t="s">
        <v>8</v>
      </c>
      <c r="B26" s="3" t="s">
        <v>133</v>
      </c>
      <c r="C26" s="5" t="s">
        <v>134</v>
      </c>
      <c r="D26" s="3" t="s">
        <v>4</v>
      </c>
      <c r="E26" s="3" t="s">
        <v>20</v>
      </c>
      <c r="F26" s="3" t="s">
        <v>135</v>
      </c>
      <c r="G26" s="3" t="s">
        <v>136</v>
      </c>
      <c r="H26" s="3" t="s">
        <v>137</v>
      </c>
      <c r="I26" s="3" t="s">
        <v>138</v>
      </c>
      <c r="J26" s="7">
        <v>0.36548858880996704</v>
      </c>
      <c r="K26" s="9">
        <v>22</v>
      </c>
      <c r="L26" s="9">
        <v>47</v>
      </c>
    </row>
    <row r="27" spans="1:12" ht="102" customHeight="1">
      <c r="A27" s="1" t="s">
        <v>8</v>
      </c>
      <c r="B27" s="1" t="s">
        <v>133</v>
      </c>
      <c r="C27" s="4" t="s">
        <v>139</v>
      </c>
      <c r="D27" s="1" t="s">
        <v>4</v>
      </c>
      <c r="E27" s="1" t="s">
        <v>20</v>
      </c>
      <c r="F27" s="1" t="s">
        <v>140</v>
      </c>
      <c r="G27" s="1" t="s">
        <v>141</v>
      </c>
      <c r="H27" s="1" t="s">
        <v>137</v>
      </c>
      <c r="I27" s="1" t="s">
        <v>138</v>
      </c>
      <c r="J27" s="6">
        <v>0.29356288909912109</v>
      </c>
      <c r="K27" s="8">
        <v>23</v>
      </c>
      <c r="L27" s="8">
        <v>48</v>
      </c>
    </row>
    <row r="28" spans="1:12" ht="102" customHeight="1">
      <c r="A28" s="3" t="s">
        <v>8</v>
      </c>
      <c r="B28" s="3" t="s">
        <v>133</v>
      </c>
      <c r="C28" s="5" t="s">
        <v>142</v>
      </c>
      <c r="D28" s="3" t="s">
        <v>4</v>
      </c>
      <c r="E28" s="3" t="s">
        <v>20</v>
      </c>
      <c r="F28" s="3" t="s">
        <v>143</v>
      </c>
      <c r="G28" s="3" t="s">
        <v>144</v>
      </c>
      <c r="H28" s="3" t="s">
        <v>137</v>
      </c>
      <c r="I28" s="3" t="s">
        <v>138</v>
      </c>
      <c r="J28" s="7">
        <v>0.27987533807754517</v>
      </c>
      <c r="K28" s="9">
        <v>24</v>
      </c>
      <c r="L28" s="9">
        <v>49</v>
      </c>
    </row>
    <row r="29" spans="1:12" ht="102" customHeight="1">
      <c r="A29" s="1" t="s">
        <v>8</v>
      </c>
      <c r="B29" s="1" t="s">
        <v>145</v>
      </c>
      <c r="C29" s="4" t="s">
        <v>146</v>
      </c>
      <c r="D29" s="1" t="s">
        <v>4</v>
      </c>
      <c r="E29" s="1" t="s">
        <v>20</v>
      </c>
      <c r="F29" s="1" t="s">
        <v>147</v>
      </c>
      <c r="G29" s="1" t="s">
        <v>148</v>
      </c>
      <c r="H29" s="1" t="s">
        <v>149</v>
      </c>
      <c r="I29" s="1" t="s">
        <v>150</v>
      </c>
      <c r="J29" s="6">
        <v>0.47964751720428467</v>
      </c>
      <c r="K29" s="8">
        <v>25</v>
      </c>
      <c r="L29" s="8">
        <v>50</v>
      </c>
    </row>
    <row r="30" spans="1:12" ht="102" customHeight="1">
      <c r="A30" s="3" t="s">
        <v>8</v>
      </c>
      <c r="B30" s="3" t="s">
        <v>145</v>
      </c>
      <c r="C30" s="5" t="s">
        <v>151</v>
      </c>
      <c r="D30" s="3" t="s">
        <v>4</v>
      </c>
      <c r="E30" s="3" t="s">
        <v>20</v>
      </c>
      <c r="F30" s="3" t="s">
        <v>152</v>
      </c>
      <c r="G30" s="3" t="s">
        <v>153</v>
      </c>
      <c r="H30" s="3" t="s">
        <v>149</v>
      </c>
      <c r="I30" s="3" t="s">
        <v>150</v>
      </c>
      <c r="J30" s="7">
        <v>0.47964751720428467</v>
      </c>
      <c r="K30" s="9">
        <v>26</v>
      </c>
      <c r="L30" s="9">
        <v>51</v>
      </c>
    </row>
    <row r="31" spans="1:12" ht="102" customHeight="1">
      <c r="A31" s="1" t="s">
        <v>8</v>
      </c>
      <c r="B31" s="1" t="s">
        <v>145</v>
      </c>
      <c r="C31" s="4" t="s">
        <v>154</v>
      </c>
      <c r="D31" s="1" t="s">
        <v>4</v>
      </c>
      <c r="E31" s="1" t="s">
        <v>20</v>
      </c>
      <c r="F31" s="1" t="s">
        <v>155</v>
      </c>
      <c r="G31" s="1" t="s">
        <v>156</v>
      </c>
      <c r="H31" s="1" t="s">
        <v>149</v>
      </c>
      <c r="I31" s="1" t="s">
        <v>150</v>
      </c>
      <c r="J31" s="6">
        <v>0.35364443063735962</v>
      </c>
      <c r="K31" s="8">
        <v>27</v>
      </c>
      <c r="L31" s="8">
        <v>52</v>
      </c>
    </row>
    <row r="32" spans="1:12" ht="102" customHeight="1">
      <c r="A32" s="3" t="s">
        <v>9</v>
      </c>
      <c r="B32" s="3" t="s">
        <v>157</v>
      </c>
      <c r="C32" s="5" t="s">
        <v>158</v>
      </c>
      <c r="D32" s="3" t="s">
        <v>4</v>
      </c>
      <c r="E32" s="3" t="s">
        <v>20</v>
      </c>
      <c r="F32" s="3" t="s">
        <v>159</v>
      </c>
      <c r="G32" s="3" t="s">
        <v>160</v>
      </c>
      <c r="H32" s="3" t="s">
        <v>161</v>
      </c>
      <c r="I32" s="3" t="s">
        <v>162</v>
      </c>
      <c r="J32" s="7">
        <v>0.96333199739456177</v>
      </c>
      <c r="K32" s="9">
        <v>28</v>
      </c>
      <c r="L32" s="9">
        <v>54</v>
      </c>
    </row>
    <row r="33" spans="1:12" ht="102" customHeight="1">
      <c r="A33" s="1" t="s">
        <v>9</v>
      </c>
      <c r="B33" s="1" t="s">
        <v>157</v>
      </c>
      <c r="C33" s="4" t="s">
        <v>163</v>
      </c>
      <c r="D33" s="1" t="s">
        <v>6</v>
      </c>
      <c r="E33" s="1" t="s">
        <v>28</v>
      </c>
      <c r="F33" s="1" t="s">
        <v>164</v>
      </c>
      <c r="G33" s="1" t="s">
        <v>165</v>
      </c>
      <c r="H33" s="1" t="s">
        <v>161</v>
      </c>
      <c r="I33" s="1" t="s">
        <v>162</v>
      </c>
      <c r="J33" s="6">
        <v>0.86188983917236328</v>
      </c>
      <c r="K33" s="8">
        <v>29</v>
      </c>
      <c r="L33" s="8">
        <v>55</v>
      </c>
    </row>
    <row r="34" spans="1:12" ht="102" customHeight="1">
      <c r="A34" s="3" t="s">
        <v>9</v>
      </c>
      <c r="B34" s="3" t="s">
        <v>157</v>
      </c>
      <c r="C34" s="5" t="s">
        <v>166</v>
      </c>
      <c r="D34" s="3" t="s">
        <v>4</v>
      </c>
      <c r="E34" s="3" t="s">
        <v>20</v>
      </c>
      <c r="F34" s="3" t="s">
        <v>167</v>
      </c>
      <c r="G34" s="3" t="s">
        <v>168</v>
      </c>
      <c r="H34" s="3" t="s">
        <v>161</v>
      </c>
      <c r="I34" s="3" t="s">
        <v>162</v>
      </c>
      <c r="J34" s="7">
        <v>0.83782124519348145</v>
      </c>
      <c r="K34" s="9">
        <v>30</v>
      </c>
      <c r="L34" s="9">
        <v>56</v>
      </c>
    </row>
    <row r="35" spans="1:12" ht="102" customHeight="1">
      <c r="A35" s="1" t="s">
        <v>9</v>
      </c>
      <c r="B35" s="1" t="s">
        <v>169</v>
      </c>
      <c r="C35" s="4" t="s">
        <v>170</v>
      </c>
      <c r="D35" s="1" t="s">
        <v>4</v>
      </c>
      <c r="E35" s="1" t="s">
        <v>20</v>
      </c>
      <c r="F35" s="1" t="s">
        <v>171</v>
      </c>
      <c r="G35" s="1" t="s">
        <v>172</v>
      </c>
      <c r="H35" s="1" t="s">
        <v>173</v>
      </c>
      <c r="I35" s="1" t="s">
        <v>174</v>
      </c>
      <c r="J35" s="6">
        <v>0.85611629486083984</v>
      </c>
      <c r="K35" s="8">
        <v>31</v>
      </c>
      <c r="L35" s="8">
        <v>57</v>
      </c>
    </row>
    <row r="36" spans="1:12" ht="102" customHeight="1">
      <c r="A36" s="3" t="s">
        <v>9</v>
      </c>
      <c r="B36" s="3" t="s">
        <v>169</v>
      </c>
      <c r="C36" s="5" t="s">
        <v>175</v>
      </c>
      <c r="D36" s="3" t="s">
        <v>4</v>
      </c>
      <c r="E36" s="3" t="s">
        <v>20</v>
      </c>
      <c r="F36" s="3" t="s">
        <v>176</v>
      </c>
      <c r="G36" s="3" t="s">
        <v>177</v>
      </c>
      <c r="H36" s="3" t="s">
        <v>173</v>
      </c>
      <c r="I36" s="3" t="s">
        <v>174</v>
      </c>
      <c r="J36" s="7">
        <v>0.85393416881561279</v>
      </c>
      <c r="K36" s="9">
        <v>32</v>
      </c>
      <c r="L36" s="9">
        <v>58</v>
      </c>
    </row>
    <row r="37" spans="1:12" ht="102" customHeight="1">
      <c r="A37" s="1" t="s">
        <v>9</v>
      </c>
      <c r="B37" s="1" t="s">
        <v>169</v>
      </c>
      <c r="C37" s="4" t="s">
        <v>178</v>
      </c>
      <c r="D37" s="1" t="s">
        <v>4</v>
      </c>
      <c r="E37" s="1" t="s">
        <v>22</v>
      </c>
      <c r="F37" s="1" t="s">
        <v>179</v>
      </c>
      <c r="G37" s="1" t="s">
        <v>180</v>
      </c>
      <c r="H37" s="1" t="s">
        <v>173</v>
      </c>
      <c r="I37" s="1" t="s">
        <v>174</v>
      </c>
      <c r="J37" s="6">
        <v>0.8231232762336731</v>
      </c>
      <c r="K37" s="8">
        <v>33</v>
      </c>
      <c r="L37" s="8">
        <v>59</v>
      </c>
    </row>
    <row r="38" spans="1:12" ht="102" customHeight="1">
      <c r="A38" s="3" t="s">
        <v>9</v>
      </c>
      <c r="B38" s="3" t="s">
        <v>181</v>
      </c>
      <c r="C38" s="5" t="s">
        <v>182</v>
      </c>
      <c r="D38" s="3" t="s">
        <v>4</v>
      </c>
      <c r="E38" s="3" t="s">
        <v>24</v>
      </c>
      <c r="F38" s="3" t="s">
        <v>183</v>
      </c>
      <c r="G38" s="3" t="s">
        <v>184</v>
      </c>
      <c r="H38" s="3" t="s">
        <v>185</v>
      </c>
      <c r="I38" s="3" t="s">
        <v>186</v>
      </c>
      <c r="J38" s="7">
        <v>0.99195897579193115</v>
      </c>
      <c r="K38" s="9">
        <v>34</v>
      </c>
      <c r="L38" s="9">
        <v>61</v>
      </c>
    </row>
    <row r="39" spans="1:12" ht="102" customHeight="1">
      <c r="A39" s="1" t="s">
        <v>9</v>
      </c>
      <c r="B39" s="1" t="s">
        <v>181</v>
      </c>
      <c r="C39" s="4" t="s">
        <v>187</v>
      </c>
      <c r="D39" s="1" t="s">
        <v>4</v>
      </c>
      <c r="E39" s="1" t="s">
        <v>24</v>
      </c>
      <c r="F39" s="1" t="s">
        <v>188</v>
      </c>
      <c r="G39" s="1" t="s">
        <v>189</v>
      </c>
      <c r="H39" s="1" t="s">
        <v>185</v>
      </c>
      <c r="I39" s="1" t="s">
        <v>186</v>
      </c>
      <c r="J39" s="6">
        <v>0.98970025777816772</v>
      </c>
      <c r="K39" s="8">
        <v>35</v>
      </c>
      <c r="L39" s="8">
        <v>63</v>
      </c>
    </row>
    <row r="40" spans="1:12" ht="102" customHeight="1">
      <c r="A40" s="3" t="s">
        <v>9</v>
      </c>
      <c r="B40" s="3" t="s">
        <v>181</v>
      </c>
      <c r="C40" s="5" t="s">
        <v>190</v>
      </c>
      <c r="D40" s="3" t="s">
        <v>4</v>
      </c>
      <c r="E40" s="3" t="s">
        <v>24</v>
      </c>
      <c r="F40" s="3" t="s">
        <v>191</v>
      </c>
      <c r="G40" s="3" t="s">
        <v>192</v>
      </c>
      <c r="H40" s="3" t="s">
        <v>185</v>
      </c>
      <c r="I40" s="3" t="s">
        <v>186</v>
      </c>
      <c r="J40" s="7">
        <v>0.98958319425582886</v>
      </c>
      <c r="K40" s="9">
        <v>36</v>
      </c>
      <c r="L40" s="9">
        <v>65</v>
      </c>
    </row>
    <row r="41" spans="1:12" ht="102" customHeight="1">
      <c r="A41" s="1" t="s">
        <v>9</v>
      </c>
      <c r="B41" s="1" t="s">
        <v>193</v>
      </c>
      <c r="C41" s="4" t="s">
        <v>194</v>
      </c>
      <c r="D41" s="1" t="s">
        <v>6</v>
      </c>
      <c r="E41" s="1" t="s">
        <v>30</v>
      </c>
      <c r="F41" s="1" t="s">
        <v>195</v>
      </c>
      <c r="G41" s="1" t="s">
        <v>196</v>
      </c>
      <c r="H41" s="1" t="s">
        <v>197</v>
      </c>
      <c r="I41" s="1" t="s">
        <v>198</v>
      </c>
      <c r="J41" s="6">
        <v>0.98007220029830933</v>
      </c>
      <c r="K41" s="8">
        <v>37</v>
      </c>
      <c r="L41" s="8">
        <v>67</v>
      </c>
    </row>
    <row r="42" spans="1:12" ht="102" customHeight="1">
      <c r="A42" s="3" t="s">
        <v>9</v>
      </c>
      <c r="B42" s="3" t="s">
        <v>193</v>
      </c>
      <c r="C42" s="5" t="s">
        <v>199</v>
      </c>
      <c r="D42" s="3" t="s">
        <v>6</v>
      </c>
      <c r="E42" s="3" t="s">
        <v>30</v>
      </c>
      <c r="F42" s="3" t="s">
        <v>200</v>
      </c>
      <c r="G42" s="3" t="s">
        <v>201</v>
      </c>
      <c r="H42" s="3" t="s">
        <v>197</v>
      </c>
      <c r="I42" s="3" t="s">
        <v>198</v>
      </c>
      <c r="J42" s="7">
        <v>0.97649550437927246</v>
      </c>
      <c r="K42" s="9">
        <v>38</v>
      </c>
      <c r="L42" s="9">
        <v>68</v>
      </c>
    </row>
    <row r="43" spans="1:12" ht="102" customHeight="1">
      <c r="A43" s="1" t="s">
        <v>9</v>
      </c>
      <c r="B43" s="1" t="s">
        <v>193</v>
      </c>
      <c r="C43" s="4" t="s">
        <v>202</v>
      </c>
      <c r="D43" s="1" t="s">
        <v>6</v>
      </c>
      <c r="E43" s="1" t="s">
        <v>30</v>
      </c>
      <c r="F43" s="1" t="s">
        <v>203</v>
      </c>
      <c r="G43" s="1" t="s">
        <v>204</v>
      </c>
      <c r="H43" s="1" t="s">
        <v>197</v>
      </c>
      <c r="I43" s="1" t="s">
        <v>198</v>
      </c>
      <c r="J43" s="6">
        <v>0.97587686777114868</v>
      </c>
      <c r="K43" s="8">
        <v>39</v>
      </c>
      <c r="L43" s="8">
        <v>69</v>
      </c>
    </row>
    <row r="44" spans="1:12" ht="102" customHeight="1">
      <c r="A44" s="3" t="s">
        <v>9</v>
      </c>
      <c r="B44" s="3" t="s">
        <v>205</v>
      </c>
      <c r="C44" s="5" t="s">
        <v>206</v>
      </c>
      <c r="D44" s="3" t="s">
        <v>4</v>
      </c>
      <c r="E44" s="3" t="s">
        <v>20</v>
      </c>
      <c r="F44" s="3" t="s">
        <v>207</v>
      </c>
      <c r="G44" s="3" t="s">
        <v>208</v>
      </c>
      <c r="H44" s="3" t="s">
        <v>209</v>
      </c>
      <c r="I44" s="3" t="s">
        <v>210</v>
      </c>
      <c r="J44" s="7">
        <v>0.99310761690139771</v>
      </c>
      <c r="K44" s="9">
        <v>40</v>
      </c>
      <c r="L44" s="9">
        <v>70</v>
      </c>
    </row>
    <row r="45" spans="1:12" ht="102" customHeight="1">
      <c r="A45" s="1" t="s">
        <v>9</v>
      </c>
      <c r="B45" s="1" t="s">
        <v>205</v>
      </c>
      <c r="C45" s="4" t="s">
        <v>211</v>
      </c>
      <c r="D45" s="1" t="s">
        <v>4</v>
      </c>
      <c r="E45" s="1" t="s">
        <v>20</v>
      </c>
      <c r="F45" s="1" t="s">
        <v>212</v>
      </c>
      <c r="G45" s="1" t="s">
        <v>213</v>
      </c>
      <c r="H45" s="1" t="s">
        <v>209</v>
      </c>
      <c r="I45" s="1" t="s">
        <v>210</v>
      </c>
      <c r="J45" s="6">
        <v>0.98273199796676636</v>
      </c>
      <c r="K45" s="8">
        <v>41</v>
      </c>
      <c r="L45" s="8">
        <v>72</v>
      </c>
    </row>
    <row r="46" spans="1:12" ht="102" customHeight="1">
      <c r="A46" s="3" t="s">
        <v>9</v>
      </c>
      <c r="B46" s="3" t="s">
        <v>205</v>
      </c>
      <c r="C46" s="5" t="s">
        <v>214</v>
      </c>
      <c r="D46" s="3" t="s">
        <v>4</v>
      </c>
      <c r="E46" s="3" t="s">
        <v>20</v>
      </c>
      <c r="F46" s="3" t="s">
        <v>215</v>
      </c>
      <c r="G46" s="3" t="s">
        <v>216</v>
      </c>
      <c r="H46" s="3" t="s">
        <v>209</v>
      </c>
      <c r="I46" s="3" t="s">
        <v>210</v>
      </c>
      <c r="J46" s="7">
        <v>0.89814728498458862</v>
      </c>
      <c r="K46" s="9">
        <v>42</v>
      </c>
      <c r="L46" s="9">
        <v>74</v>
      </c>
    </row>
    <row r="47" spans="1:12" ht="102" customHeight="1">
      <c r="A47" s="1" t="s">
        <v>9</v>
      </c>
      <c r="B47" s="1" t="s">
        <v>217</v>
      </c>
      <c r="C47" s="4" t="s">
        <v>218</v>
      </c>
      <c r="D47" s="1" t="s">
        <v>4</v>
      </c>
      <c r="E47" s="1" t="s">
        <v>20</v>
      </c>
      <c r="F47" s="1" t="s">
        <v>219</v>
      </c>
      <c r="G47" s="1" t="s">
        <v>220</v>
      </c>
      <c r="H47" s="1" t="s">
        <v>221</v>
      </c>
      <c r="I47" s="1" t="s">
        <v>222</v>
      </c>
      <c r="J47" s="6">
        <v>0.89814609289169312</v>
      </c>
      <c r="K47" s="8">
        <v>43</v>
      </c>
      <c r="L47" s="8">
        <v>75</v>
      </c>
    </row>
    <row r="48" spans="1:12" ht="102" customHeight="1">
      <c r="A48" s="3" t="s">
        <v>9</v>
      </c>
      <c r="B48" s="3" t="s">
        <v>217</v>
      </c>
      <c r="C48" s="5" t="s">
        <v>223</v>
      </c>
      <c r="D48" s="3" t="s">
        <v>5</v>
      </c>
      <c r="E48" s="3" t="s">
        <v>26</v>
      </c>
      <c r="F48" s="3" t="s">
        <v>224</v>
      </c>
      <c r="G48" s="3" t="s">
        <v>225</v>
      </c>
      <c r="H48" s="3" t="s">
        <v>221</v>
      </c>
      <c r="I48" s="3" t="s">
        <v>222</v>
      </c>
      <c r="J48" s="7">
        <v>0.88774192333221436</v>
      </c>
      <c r="K48" s="9">
        <v>44</v>
      </c>
      <c r="L48" s="9">
        <v>76</v>
      </c>
    </row>
    <row r="49" spans="1:12" ht="102" customHeight="1">
      <c r="A49" s="1" t="s">
        <v>9</v>
      </c>
      <c r="B49" s="1" t="s">
        <v>217</v>
      </c>
      <c r="C49" s="4" t="s">
        <v>134</v>
      </c>
      <c r="D49" s="1" t="s">
        <v>4</v>
      </c>
      <c r="E49" s="1" t="s">
        <v>20</v>
      </c>
      <c r="F49" s="1" t="s">
        <v>226</v>
      </c>
      <c r="G49" s="1" t="s">
        <v>136</v>
      </c>
      <c r="H49" s="1" t="s">
        <v>221</v>
      </c>
      <c r="I49" s="1" t="s">
        <v>222</v>
      </c>
      <c r="J49" s="6">
        <v>0.86904579401016235</v>
      </c>
      <c r="K49" s="8">
        <v>45</v>
      </c>
      <c r="L49" s="8">
        <v>47</v>
      </c>
    </row>
    <row r="50" spans="1:12" ht="102" customHeight="1">
      <c r="A50" s="3" t="s">
        <v>9</v>
      </c>
      <c r="B50" s="3" t="s">
        <v>227</v>
      </c>
      <c r="C50" s="5" t="s">
        <v>228</v>
      </c>
      <c r="D50" s="3" t="s">
        <v>4</v>
      </c>
      <c r="E50" s="3" t="s">
        <v>20</v>
      </c>
      <c r="F50" s="3" t="s">
        <v>229</v>
      </c>
      <c r="G50" s="3" t="s">
        <v>230</v>
      </c>
      <c r="H50" s="3" t="s">
        <v>149</v>
      </c>
      <c r="I50" s="3" t="s">
        <v>231</v>
      </c>
      <c r="J50" s="7">
        <v>0.86904585361480713</v>
      </c>
      <c r="K50" s="9">
        <v>46</v>
      </c>
      <c r="L50" s="9">
        <v>77</v>
      </c>
    </row>
    <row r="51" spans="1:12" ht="102" customHeight="1">
      <c r="A51" s="1" t="s">
        <v>9</v>
      </c>
      <c r="B51" s="1" t="s">
        <v>227</v>
      </c>
      <c r="C51" s="4" t="s">
        <v>232</v>
      </c>
      <c r="D51" s="1" t="s">
        <v>4</v>
      </c>
      <c r="E51" s="1" t="s">
        <v>20</v>
      </c>
      <c r="F51" s="1" t="s">
        <v>233</v>
      </c>
      <c r="G51" s="1" t="s">
        <v>234</v>
      </c>
      <c r="H51" s="1" t="s">
        <v>149</v>
      </c>
      <c r="I51" s="1" t="s">
        <v>231</v>
      </c>
      <c r="J51" s="6">
        <v>0.86562979221343994</v>
      </c>
      <c r="K51" s="8">
        <v>47</v>
      </c>
      <c r="L51" s="8">
        <v>78</v>
      </c>
    </row>
    <row r="52" spans="1:12" ht="102" customHeight="1">
      <c r="A52" s="3" t="s">
        <v>9</v>
      </c>
      <c r="B52" s="3" t="s">
        <v>227</v>
      </c>
      <c r="C52" s="5" t="s">
        <v>235</v>
      </c>
      <c r="D52" s="3" t="s">
        <v>4</v>
      </c>
      <c r="E52" s="3" t="s">
        <v>20</v>
      </c>
      <c r="F52" s="3" t="s">
        <v>236</v>
      </c>
      <c r="G52" s="3" t="s">
        <v>237</v>
      </c>
      <c r="H52" s="3" t="s">
        <v>149</v>
      </c>
      <c r="I52" s="3" t="s">
        <v>231</v>
      </c>
      <c r="J52" s="7">
        <v>0.86369723081588745</v>
      </c>
      <c r="K52" s="9">
        <v>48</v>
      </c>
      <c r="L52" s="9">
        <v>79</v>
      </c>
    </row>
    <row r="53" spans="1:12" ht="102" customHeight="1">
      <c r="A53" s="1" t="s">
        <v>9</v>
      </c>
      <c r="B53" s="1" t="s">
        <v>238</v>
      </c>
      <c r="C53" s="4" t="s">
        <v>239</v>
      </c>
      <c r="D53" s="1" t="s">
        <v>4</v>
      </c>
      <c r="E53" s="1" t="s">
        <v>22</v>
      </c>
      <c r="F53" s="1" t="s">
        <v>240</v>
      </c>
      <c r="G53" s="1" t="s">
        <v>241</v>
      </c>
      <c r="H53" s="1" t="s">
        <v>242</v>
      </c>
      <c r="I53" s="1" t="s">
        <v>243</v>
      </c>
      <c r="J53" s="6">
        <v>0.92948567867279053</v>
      </c>
      <c r="K53" s="8">
        <v>49</v>
      </c>
      <c r="L53" s="8">
        <v>80</v>
      </c>
    </row>
    <row r="54" spans="1:12" ht="102" customHeight="1">
      <c r="A54" s="3" t="s">
        <v>9</v>
      </c>
      <c r="B54" s="3" t="s">
        <v>238</v>
      </c>
      <c r="C54" s="5" t="s">
        <v>244</v>
      </c>
      <c r="D54" s="3" t="s">
        <v>4</v>
      </c>
      <c r="E54" s="3" t="s">
        <v>22</v>
      </c>
      <c r="F54" s="3" t="s">
        <v>245</v>
      </c>
      <c r="G54" s="3" t="s">
        <v>246</v>
      </c>
      <c r="H54" s="3" t="s">
        <v>242</v>
      </c>
      <c r="I54" s="3" t="s">
        <v>243</v>
      </c>
      <c r="J54" s="7">
        <v>0.84875059127807617</v>
      </c>
      <c r="K54" s="9">
        <v>50</v>
      </c>
      <c r="L54" s="9">
        <v>81</v>
      </c>
    </row>
    <row r="55" spans="1:12" ht="102" customHeight="1">
      <c r="A55" s="1" t="s">
        <v>9</v>
      </c>
      <c r="B55" s="1" t="s">
        <v>238</v>
      </c>
      <c r="C55" s="4" t="s">
        <v>247</v>
      </c>
      <c r="D55" s="1" t="s">
        <v>4</v>
      </c>
      <c r="E55" s="1" t="s">
        <v>22</v>
      </c>
      <c r="F55" s="1" t="s">
        <v>248</v>
      </c>
      <c r="G55" s="1" t="s">
        <v>249</v>
      </c>
      <c r="H55" s="1" t="s">
        <v>242</v>
      </c>
      <c r="I55" s="1" t="s">
        <v>243</v>
      </c>
      <c r="J55" s="6">
        <v>0.83285868167877197</v>
      </c>
      <c r="K55" s="8">
        <v>51</v>
      </c>
      <c r="L55" s="8">
        <v>83</v>
      </c>
    </row>
    <row r="56" spans="1:12" ht="102" customHeight="1">
      <c r="A56" s="3" t="s">
        <v>9</v>
      </c>
      <c r="B56" s="3" t="s">
        <v>250</v>
      </c>
      <c r="C56" s="5" t="s">
        <v>251</v>
      </c>
      <c r="D56" s="3" t="s">
        <v>6</v>
      </c>
      <c r="E56" s="3" t="s">
        <v>28</v>
      </c>
      <c r="F56" s="3" t="s">
        <v>252</v>
      </c>
      <c r="G56" s="3" t="s">
        <v>253</v>
      </c>
      <c r="H56" s="3" t="s">
        <v>254</v>
      </c>
      <c r="I56" s="3" t="s">
        <v>255</v>
      </c>
      <c r="J56" s="7">
        <v>0.77083045244216919</v>
      </c>
      <c r="K56" s="9">
        <v>52</v>
      </c>
      <c r="L56" s="9">
        <v>84</v>
      </c>
    </row>
    <row r="57" spans="1:12" ht="102" customHeight="1">
      <c r="A57" s="1" t="s">
        <v>9</v>
      </c>
      <c r="B57" s="1" t="s">
        <v>250</v>
      </c>
      <c r="C57" s="4" t="s">
        <v>256</v>
      </c>
      <c r="D57" s="1" t="s">
        <v>4</v>
      </c>
      <c r="E57" s="1" t="s">
        <v>20</v>
      </c>
      <c r="F57" s="1" t="s">
        <v>257</v>
      </c>
      <c r="G57" s="1" t="s">
        <v>258</v>
      </c>
      <c r="H57" s="1" t="s">
        <v>254</v>
      </c>
      <c r="I57" s="1" t="s">
        <v>255</v>
      </c>
      <c r="J57" s="6">
        <v>0.69829785823822021</v>
      </c>
      <c r="K57" s="8">
        <v>53</v>
      </c>
      <c r="L57" s="8">
        <v>85</v>
      </c>
    </row>
    <row r="58" spans="1:12" ht="102" customHeight="1">
      <c r="A58" s="3" t="s">
        <v>9</v>
      </c>
      <c r="B58" s="3" t="s">
        <v>250</v>
      </c>
      <c r="C58" s="5" t="s">
        <v>259</v>
      </c>
      <c r="D58" s="3" t="s">
        <v>4</v>
      </c>
      <c r="E58" s="3" t="s">
        <v>20</v>
      </c>
      <c r="F58" s="3" t="s">
        <v>260</v>
      </c>
      <c r="G58" s="3" t="s">
        <v>261</v>
      </c>
      <c r="H58" s="3" t="s">
        <v>254</v>
      </c>
      <c r="I58" s="3" t="s">
        <v>255</v>
      </c>
      <c r="J58" s="7">
        <v>0.69401997327804565</v>
      </c>
      <c r="K58" s="9">
        <v>54</v>
      </c>
      <c r="L58" s="9">
        <v>86</v>
      </c>
    </row>
    <row r="59" spans="1:12" ht="102" customHeight="1">
      <c r="A59" s="1" t="s">
        <v>9</v>
      </c>
      <c r="B59" s="1" t="s">
        <v>262</v>
      </c>
      <c r="C59" s="4" t="s">
        <v>263</v>
      </c>
      <c r="D59" s="1" t="s">
        <v>4</v>
      </c>
      <c r="E59" s="1" t="s">
        <v>20</v>
      </c>
      <c r="F59" s="1" t="s">
        <v>264</v>
      </c>
      <c r="G59" s="1" t="s">
        <v>265</v>
      </c>
      <c r="H59" s="1" t="s">
        <v>266</v>
      </c>
      <c r="I59" s="1" t="s">
        <v>267</v>
      </c>
      <c r="J59" s="6">
        <v>0.51219218969345093</v>
      </c>
      <c r="K59" s="8">
        <v>55</v>
      </c>
      <c r="L59" s="8">
        <v>88</v>
      </c>
    </row>
    <row r="60" spans="1:12" ht="102" customHeight="1">
      <c r="A60" s="3" t="s">
        <v>9</v>
      </c>
      <c r="B60" s="3" t="s">
        <v>262</v>
      </c>
      <c r="C60" s="5" t="s">
        <v>268</v>
      </c>
      <c r="D60" s="3" t="s">
        <v>4</v>
      </c>
      <c r="E60" s="3" t="s">
        <v>20</v>
      </c>
      <c r="F60" s="3" t="s">
        <v>269</v>
      </c>
      <c r="G60" s="3" t="s">
        <v>270</v>
      </c>
      <c r="H60" s="3" t="s">
        <v>266</v>
      </c>
      <c r="I60" s="3" t="s">
        <v>267</v>
      </c>
      <c r="J60" s="7">
        <v>0.45738470554351807</v>
      </c>
      <c r="K60" s="9">
        <v>56</v>
      </c>
      <c r="L60" s="9">
        <v>89</v>
      </c>
    </row>
    <row r="61" spans="1:12" ht="102" customHeight="1">
      <c r="A61" s="1" t="s">
        <v>9</v>
      </c>
      <c r="B61" s="1" t="s">
        <v>262</v>
      </c>
      <c r="C61" s="4" t="s">
        <v>271</v>
      </c>
      <c r="D61" s="1" t="s">
        <v>4</v>
      </c>
      <c r="E61" s="1" t="s">
        <v>22</v>
      </c>
      <c r="F61" s="1" t="s">
        <v>272</v>
      </c>
      <c r="G61" s="1" t="s">
        <v>273</v>
      </c>
      <c r="H61" s="1" t="s">
        <v>266</v>
      </c>
      <c r="I61" s="1" t="s">
        <v>267</v>
      </c>
      <c r="J61" s="6">
        <v>0.43051654100418091</v>
      </c>
      <c r="K61" s="8">
        <v>57</v>
      </c>
      <c r="L61" s="8">
        <v>91</v>
      </c>
    </row>
    <row r="62" spans="1:12" ht="102" customHeight="1">
      <c r="A62" s="3" t="s">
        <v>9</v>
      </c>
      <c r="B62" s="3" t="s">
        <v>274</v>
      </c>
      <c r="C62" s="5" t="s">
        <v>275</v>
      </c>
      <c r="D62" s="3" t="s">
        <v>4</v>
      </c>
      <c r="E62" s="3" t="s">
        <v>20</v>
      </c>
      <c r="F62" s="3" t="s">
        <v>276</v>
      </c>
      <c r="G62" s="3" t="s">
        <v>277</v>
      </c>
      <c r="H62" s="3" t="s">
        <v>278</v>
      </c>
      <c r="I62" s="3" t="s">
        <v>279</v>
      </c>
      <c r="J62" s="7">
        <v>0.89046370983123779</v>
      </c>
      <c r="K62" s="9">
        <v>58</v>
      </c>
      <c r="L62" s="9">
        <v>92</v>
      </c>
    </row>
    <row r="63" spans="1:12" ht="102" customHeight="1">
      <c r="A63" s="1" t="s">
        <v>9</v>
      </c>
      <c r="B63" s="1" t="s">
        <v>274</v>
      </c>
      <c r="C63" s="4" t="s">
        <v>280</v>
      </c>
      <c r="D63" s="1" t="s">
        <v>4</v>
      </c>
      <c r="E63" s="1" t="s">
        <v>22</v>
      </c>
      <c r="F63" s="1" t="s">
        <v>281</v>
      </c>
      <c r="G63" s="1" t="s">
        <v>282</v>
      </c>
      <c r="H63" s="1" t="s">
        <v>278</v>
      </c>
      <c r="I63" s="1" t="s">
        <v>279</v>
      </c>
      <c r="J63" s="6">
        <v>0.88541465997695923</v>
      </c>
      <c r="K63" s="8">
        <v>59</v>
      </c>
      <c r="L63" s="8">
        <v>93</v>
      </c>
    </row>
    <row r="64" spans="1:12" ht="102" customHeight="1">
      <c r="A64" s="3" t="s">
        <v>9</v>
      </c>
      <c r="B64" s="3" t="s">
        <v>274</v>
      </c>
      <c r="C64" s="5" t="s">
        <v>283</v>
      </c>
      <c r="D64" s="3" t="s">
        <v>4</v>
      </c>
      <c r="E64" s="3" t="s">
        <v>20</v>
      </c>
      <c r="F64" s="3" t="s">
        <v>284</v>
      </c>
      <c r="G64" s="3" t="s">
        <v>285</v>
      </c>
      <c r="H64" s="3" t="s">
        <v>278</v>
      </c>
      <c r="I64" s="3" t="s">
        <v>279</v>
      </c>
      <c r="J64" s="7">
        <v>0.83446300029754639</v>
      </c>
      <c r="K64" s="9">
        <v>60</v>
      </c>
      <c r="L64" s="9">
        <v>94</v>
      </c>
    </row>
    <row r="65" spans="1:12" ht="102" customHeight="1">
      <c r="A65" s="1" t="s">
        <v>9</v>
      </c>
      <c r="B65" s="1" t="s">
        <v>286</v>
      </c>
      <c r="C65" s="4" t="s">
        <v>287</v>
      </c>
      <c r="D65" s="1" t="s">
        <v>4</v>
      </c>
      <c r="E65" s="1" t="s">
        <v>20</v>
      </c>
      <c r="F65" s="1" t="s">
        <v>288</v>
      </c>
      <c r="G65" s="1" t="s">
        <v>289</v>
      </c>
      <c r="H65" s="1" t="s">
        <v>290</v>
      </c>
      <c r="I65" s="1" t="s">
        <v>291</v>
      </c>
      <c r="J65" s="6">
        <v>0.9820253849029541</v>
      </c>
      <c r="K65" s="8">
        <v>61</v>
      </c>
      <c r="L65" s="8">
        <v>95</v>
      </c>
    </row>
    <row r="66" spans="1:12" ht="102" customHeight="1">
      <c r="A66" s="3" t="s">
        <v>9</v>
      </c>
      <c r="B66" s="3" t="s">
        <v>286</v>
      </c>
      <c r="C66" s="5" t="s">
        <v>292</v>
      </c>
      <c r="D66" s="3" t="s">
        <v>4</v>
      </c>
      <c r="E66" s="3" t="s">
        <v>20</v>
      </c>
      <c r="F66" s="3" t="s">
        <v>293</v>
      </c>
      <c r="G66" s="3" t="s">
        <v>294</v>
      </c>
      <c r="H66" s="3" t="s">
        <v>290</v>
      </c>
      <c r="I66" s="3" t="s">
        <v>291</v>
      </c>
      <c r="J66" s="7">
        <v>0.97764170169830322</v>
      </c>
      <c r="K66" s="9">
        <v>62</v>
      </c>
      <c r="L66" s="9">
        <v>96</v>
      </c>
    </row>
    <row r="67" spans="1:12" ht="102" customHeight="1">
      <c r="A67" s="1" t="s">
        <v>9</v>
      </c>
      <c r="B67" s="1" t="s">
        <v>286</v>
      </c>
      <c r="C67" s="4" t="s">
        <v>295</v>
      </c>
      <c r="D67" s="1" t="s">
        <v>4</v>
      </c>
      <c r="E67" s="1" t="s">
        <v>20</v>
      </c>
      <c r="F67" s="1" t="s">
        <v>296</v>
      </c>
      <c r="G67" s="1" t="s">
        <v>297</v>
      </c>
      <c r="H67" s="1" t="s">
        <v>290</v>
      </c>
      <c r="I67" s="1" t="s">
        <v>291</v>
      </c>
      <c r="J67" s="6">
        <v>0.97708272933959961</v>
      </c>
      <c r="K67" s="8">
        <v>63</v>
      </c>
      <c r="L67" s="8">
        <v>97</v>
      </c>
    </row>
    <row r="68" spans="1:12" ht="102" customHeight="1">
      <c r="A68" s="3" t="s">
        <v>11</v>
      </c>
      <c r="B68" s="3" t="s">
        <v>298</v>
      </c>
      <c r="C68" s="5" t="s">
        <v>299</v>
      </c>
      <c r="D68" s="3" t="s">
        <v>4</v>
      </c>
      <c r="E68" s="3" t="s">
        <v>20</v>
      </c>
      <c r="F68" s="3" t="s">
        <v>300</v>
      </c>
      <c r="G68" s="3" t="s">
        <v>301</v>
      </c>
      <c r="H68" s="3" t="s">
        <v>302</v>
      </c>
      <c r="I68" s="3" t="s">
        <v>303</v>
      </c>
      <c r="J68" s="7"/>
      <c r="K68" s="9">
        <v>64</v>
      </c>
      <c r="L68" s="9">
        <v>98</v>
      </c>
    </row>
    <row r="69" spans="1:12" ht="102" customHeight="1">
      <c r="A69" s="1" t="s">
        <v>11</v>
      </c>
      <c r="B69" s="1" t="s">
        <v>298</v>
      </c>
      <c r="C69" s="4" t="s">
        <v>304</v>
      </c>
      <c r="D69" s="1" t="s">
        <v>5</v>
      </c>
      <c r="E69" s="1" t="s">
        <v>26</v>
      </c>
      <c r="F69" s="1" t="s">
        <v>305</v>
      </c>
      <c r="G69" s="1" t="s">
        <v>306</v>
      </c>
      <c r="H69" s="1" t="s">
        <v>302</v>
      </c>
      <c r="I69" s="1" t="s">
        <v>303</v>
      </c>
      <c r="J69" s="6"/>
      <c r="K69" s="8">
        <v>65</v>
      </c>
      <c r="L69" s="8">
        <v>99</v>
      </c>
    </row>
    <row r="70" spans="1:12" ht="102" customHeight="1">
      <c r="A70" s="3" t="s">
        <v>11</v>
      </c>
      <c r="B70" s="3" t="s">
        <v>298</v>
      </c>
      <c r="C70" s="5" t="s">
        <v>307</v>
      </c>
      <c r="D70" s="3" t="s">
        <v>5</v>
      </c>
      <c r="E70" s="3" t="s">
        <v>26</v>
      </c>
      <c r="F70" s="3" t="s">
        <v>308</v>
      </c>
      <c r="G70" s="3" t="s">
        <v>309</v>
      </c>
      <c r="H70" s="3" t="s">
        <v>302</v>
      </c>
      <c r="I70" s="3" t="s">
        <v>303</v>
      </c>
      <c r="J70" s="7"/>
      <c r="K70" s="9">
        <v>66</v>
      </c>
      <c r="L70" s="9">
        <v>100</v>
      </c>
    </row>
    <row r="71" spans="1:12" ht="102" customHeight="1">
      <c r="A71" s="1" t="s">
        <v>11</v>
      </c>
      <c r="B71" s="1" t="s">
        <v>310</v>
      </c>
      <c r="C71" s="4" t="s">
        <v>311</v>
      </c>
      <c r="D71" s="1" t="s">
        <v>6</v>
      </c>
      <c r="E71" s="1" t="s">
        <v>30</v>
      </c>
      <c r="F71" s="1" t="s">
        <v>312</v>
      </c>
      <c r="G71" s="1" t="s">
        <v>313</v>
      </c>
      <c r="H71" s="1" t="s">
        <v>314</v>
      </c>
      <c r="I71" s="1" t="s">
        <v>315</v>
      </c>
      <c r="J71" s="6"/>
      <c r="K71" s="8">
        <v>67</v>
      </c>
      <c r="L71" s="8">
        <v>102</v>
      </c>
    </row>
    <row r="72" spans="1:12" ht="102" customHeight="1">
      <c r="A72" s="3" t="s">
        <v>11</v>
      </c>
      <c r="B72" s="3" t="s">
        <v>310</v>
      </c>
      <c r="C72" s="5" t="s">
        <v>316</v>
      </c>
      <c r="D72" s="3" t="s">
        <v>6</v>
      </c>
      <c r="E72" s="3" t="s">
        <v>30</v>
      </c>
      <c r="F72" s="3" t="s">
        <v>317</v>
      </c>
      <c r="G72" s="3" t="s">
        <v>318</v>
      </c>
      <c r="H72" s="3" t="s">
        <v>314</v>
      </c>
      <c r="I72" s="3" t="s">
        <v>315</v>
      </c>
      <c r="J72" s="7"/>
      <c r="K72" s="9">
        <v>68</v>
      </c>
      <c r="L72" s="9">
        <v>103</v>
      </c>
    </row>
    <row r="73" spans="1:12" ht="102" customHeight="1">
      <c r="A73" s="1" t="s">
        <v>11</v>
      </c>
      <c r="B73" s="1" t="s">
        <v>310</v>
      </c>
      <c r="C73" s="4" t="s">
        <v>319</v>
      </c>
      <c r="D73" s="1" t="s">
        <v>6</v>
      </c>
      <c r="E73" s="1" t="s">
        <v>30</v>
      </c>
      <c r="F73" s="1" t="s">
        <v>320</v>
      </c>
      <c r="G73" s="1" t="s">
        <v>321</v>
      </c>
      <c r="H73" s="1" t="s">
        <v>314</v>
      </c>
      <c r="I73" s="1" t="s">
        <v>315</v>
      </c>
      <c r="J73" s="6"/>
      <c r="K73" s="8">
        <v>69</v>
      </c>
      <c r="L73" s="8">
        <v>104</v>
      </c>
    </row>
    <row r="74" spans="1:12" ht="102" customHeight="1">
      <c r="A74" s="3" t="s">
        <v>11</v>
      </c>
      <c r="B74" s="3" t="s">
        <v>322</v>
      </c>
      <c r="C74" s="5" t="s">
        <v>323</v>
      </c>
      <c r="D74" s="3" t="s">
        <v>5</v>
      </c>
      <c r="E74" s="3" t="s">
        <v>26</v>
      </c>
      <c r="F74" s="3" t="s">
        <v>324</v>
      </c>
      <c r="G74" s="3" t="s">
        <v>325</v>
      </c>
      <c r="H74" s="3" t="s">
        <v>326</v>
      </c>
      <c r="I74" s="3" t="s">
        <v>327</v>
      </c>
      <c r="J74" s="7"/>
      <c r="K74" s="9">
        <v>70</v>
      </c>
      <c r="L74" s="9">
        <v>105</v>
      </c>
    </row>
    <row r="75" spans="1:12" ht="102" customHeight="1">
      <c r="A75" s="1" t="s">
        <v>11</v>
      </c>
      <c r="B75" s="1" t="s">
        <v>322</v>
      </c>
      <c r="C75" s="4" t="s">
        <v>328</v>
      </c>
      <c r="D75" s="1" t="s">
        <v>4</v>
      </c>
      <c r="E75" s="1" t="s">
        <v>20</v>
      </c>
      <c r="F75" s="1" t="s">
        <v>329</v>
      </c>
      <c r="G75" s="1" t="s">
        <v>330</v>
      </c>
      <c r="H75" s="1" t="s">
        <v>326</v>
      </c>
      <c r="I75" s="1" t="s">
        <v>327</v>
      </c>
      <c r="J75" s="6"/>
      <c r="K75" s="8">
        <v>71</v>
      </c>
      <c r="L75" s="8">
        <v>108</v>
      </c>
    </row>
    <row r="76" spans="1:12" ht="102" customHeight="1">
      <c r="A76" s="3" t="s">
        <v>11</v>
      </c>
      <c r="B76" s="3" t="s">
        <v>322</v>
      </c>
      <c r="C76" s="5" t="s">
        <v>331</v>
      </c>
      <c r="D76" s="3" t="s">
        <v>4</v>
      </c>
      <c r="E76" s="3" t="s">
        <v>22</v>
      </c>
      <c r="F76" s="3" t="s">
        <v>332</v>
      </c>
      <c r="G76" s="3" t="s">
        <v>333</v>
      </c>
      <c r="H76" s="3" t="s">
        <v>326</v>
      </c>
      <c r="I76" s="3" t="s">
        <v>327</v>
      </c>
      <c r="J76" s="7"/>
      <c r="K76" s="9">
        <v>72</v>
      </c>
      <c r="L76" s="9">
        <v>110</v>
      </c>
    </row>
    <row r="77" spans="1:12" ht="102" customHeight="1">
      <c r="A77" s="1" t="s">
        <v>11</v>
      </c>
      <c r="B77" s="1" t="s">
        <v>334</v>
      </c>
      <c r="C77" s="4" t="s">
        <v>335</v>
      </c>
      <c r="D77" s="1" t="s">
        <v>4</v>
      </c>
      <c r="E77" s="1" t="s">
        <v>20</v>
      </c>
      <c r="F77" s="1" t="s">
        <v>336</v>
      </c>
      <c r="G77" s="1" t="s">
        <v>337</v>
      </c>
      <c r="H77" s="1" t="s">
        <v>338</v>
      </c>
      <c r="I77" s="1" t="s">
        <v>339</v>
      </c>
      <c r="J77" s="6"/>
      <c r="K77" s="8">
        <v>73</v>
      </c>
      <c r="L77" s="8">
        <v>111</v>
      </c>
    </row>
    <row r="78" spans="1:12" ht="102" customHeight="1">
      <c r="A78" s="3" t="s">
        <v>11</v>
      </c>
      <c r="B78" s="3" t="s">
        <v>334</v>
      </c>
      <c r="C78" s="5" t="s">
        <v>340</v>
      </c>
      <c r="D78" s="3" t="s">
        <v>4</v>
      </c>
      <c r="E78" s="3" t="s">
        <v>22</v>
      </c>
      <c r="F78" s="3" t="s">
        <v>341</v>
      </c>
      <c r="G78" s="3" t="s">
        <v>342</v>
      </c>
      <c r="H78" s="3" t="s">
        <v>338</v>
      </c>
      <c r="I78" s="3" t="s">
        <v>339</v>
      </c>
      <c r="J78" s="7"/>
      <c r="K78" s="9">
        <v>74</v>
      </c>
      <c r="L78" s="9">
        <v>112</v>
      </c>
    </row>
    <row r="79" spans="1:12" ht="102" customHeight="1">
      <c r="A79" s="1" t="s">
        <v>11</v>
      </c>
      <c r="B79" s="1" t="s">
        <v>334</v>
      </c>
      <c r="C79" s="4" t="s">
        <v>343</v>
      </c>
      <c r="D79" s="1" t="s">
        <v>4</v>
      </c>
      <c r="E79" s="1" t="s">
        <v>20</v>
      </c>
      <c r="F79" s="1" t="s">
        <v>344</v>
      </c>
      <c r="G79" s="1" t="s">
        <v>345</v>
      </c>
      <c r="H79" s="1" t="s">
        <v>338</v>
      </c>
      <c r="I79" s="1" t="s">
        <v>339</v>
      </c>
      <c r="J79" s="6"/>
      <c r="K79" s="8">
        <v>75</v>
      </c>
      <c r="L79" s="8">
        <v>113</v>
      </c>
    </row>
    <row r="80" spans="1:12" ht="102" customHeight="1">
      <c r="A80" s="3" t="s">
        <v>11</v>
      </c>
      <c r="B80" s="3" t="s">
        <v>346</v>
      </c>
      <c r="C80" s="5" t="s">
        <v>347</v>
      </c>
      <c r="D80" s="3" t="s">
        <v>4</v>
      </c>
      <c r="E80" s="3" t="s">
        <v>24</v>
      </c>
      <c r="F80" s="3" t="s">
        <v>348</v>
      </c>
      <c r="G80" s="3" t="s">
        <v>349</v>
      </c>
      <c r="H80" s="3" t="s">
        <v>350</v>
      </c>
      <c r="I80" s="3" t="s">
        <v>351</v>
      </c>
      <c r="J80" s="7"/>
      <c r="K80" s="9">
        <v>76</v>
      </c>
      <c r="L80" s="9">
        <v>114</v>
      </c>
    </row>
    <row r="81" spans="1:12" ht="102" customHeight="1">
      <c r="A81" s="1" t="s">
        <v>11</v>
      </c>
      <c r="B81" s="1" t="s">
        <v>346</v>
      </c>
      <c r="C81" s="4" t="s">
        <v>352</v>
      </c>
      <c r="D81" s="1" t="s">
        <v>4</v>
      </c>
      <c r="E81" s="1" t="s">
        <v>20</v>
      </c>
      <c r="F81" s="1" t="s">
        <v>353</v>
      </c>
      <c r="G81" s="1" t="s">
        <v>354</v>
      </c>
      <c r="H81" s="1" t="s">
        <v>350</v>
      </c>
      <c r="I81" s="1" t="s">
        <v>351</v>
      </c>
      <c r="J81" s="6"/>
      <c r="K81" s="8">
        <v>77</v>
      </c>
      <c r="L81" s="8">
        <v>126</v>
      </c>
    </row>
    <row r="82" spans="1:12" ht="102" customHeight="1">
      <c r="A82" s="3" t="s">
        <v>11</v>
      </c>
      <c r="B82" s="3" t="s">
        <v>346</v>
      </c>
      <c r="C82" s="5" t="s">
        <v>355</v>
      </c>
      <c r="D82" s="3" t="s">
        <v>4</v>
      </c>
      <c r="E82" s="3" t="s">
        <v>20</v>
      </c>
      <c r="F82" s="3" t="s">
        <v>356</v>
      </c>
      <c r="G82" s="3" t="s">
        <v>357</v>
      </c>
      <c r="H82" s="3" t="s">
        <v>350</v>
      </c>
      <c r="I82" s="3" t="s">
        <v>351</v>
      </c>
      <c r="J82" s="7"/>
      <c r="K82" s="9">
        <v>78</v>
      </c>
      <c r="L82" s="9">
        <v>127</v>
      </c>
    </row>
    <row r="83" spans="1:12" ht="102" customHeight="1">
      <c r="A83" s="1" t="s">
        <v>11</v>
      </c>
      <c r="B83" s="1" t="s">
        <v>358</v>
      </c>
      <c r="C83" s="4" t="s">
        <v>359</v>
      </c>
      <c r="D83" s="1" t="s">
        <v>4</v>
      </c>
      <c r="E83" s="1" t="s">
        <v>20</v>
      </c>
      <c r="F83" s="1" t="s">
        <v>360</v>
      </c>
      <c r="G83" s="1" t="s">
        <v>361</v>
      </c>
      <c r="H83" s="1" t="s">
        <v>362</v>
      </c>
      <c r="I83" s="1" t="s">
        <v>363</v>
      </c>
      <c r="J83" s="6"/>
      <c r="K83" s="8">
        <v>79</v>
      </c>
      <c r="L83" s="8">
        <v>128</v>
      </c>
    </row>
    <row r="84" spans="1:12" ht="102" customHeight="1">
      <c r="A84" s="3" t="s">
        <v>11</v>
      </c>
      <c r="B84" s="3" t="s">
        <v>358</v>
      </c>
      <c r="C84" s="5" t="s">
        <v>364</v>
      </c>
      <c r="D84" s="3" t="s">
        <v>4</v>
      </c>
      <c r="E84" s="3" t="s">
        <v>20</v>
      </c>
      <c r="F84" s="3" t="s">
        <v>365</v>
      </c>
      <c r="G84" s="3" t="s">
        <v>366</v>
      </c>
      <c r="H84" s="3" t="s">
        <v>362</v>
      </c>
      <c r="I84" s="3" t="s">
        <v>363</v>
      </c>
      <c r="J84" s="7"/>
      <c r="K84" s="9">
        <v>80</v>
      </c>
      <c r="L84" s="9">
        <v>130</v>
      </c>
    </row>
    <row r="85" spans="1:12" ht="102" customHeight="1">
      <c r="A85" s="1" t="s">
        <v>11</v>
      </c>
      <c r="B85" s="1" t="s">
        <v>358</v>
      </c>
      <c r="C85" s="4" t="s">
        <v>367</v>
      </c>
      <c r="D85" s="1" t="s">
        <v>4</v>
      </c>
      <c r="E85" s="1" t="s">
        <v>20</v>
      </c>
      <c r="F85" s="1" t="s">
        <v>368</v>
      </c>
      <c r="G85" s="1" t="s">
        <v>369</v>
      </c>
      <c r="H85" s="1" t="s">
        <v>362</v>
      </c>
      <c r="I85" s="1" t="s">
        <v>363</v>
      </c>
      <c r="J85" s="6"/>
      <c r="K85" s="8">
        <v>81</v>
      </c>
      <c r="L85" s="8">
        <v>131</v>
      </c>
    </row>
    <row r="86" spans="1:12" ht="102" customHeight="1">
      <c r="A86" s="3" t="s">
        <v>11</v>
      </c>
      <c r="B86" s="3" t="s">
        <v>370</v>
      </c>
      <c r="C86" s="5" t="s">
        <v>371</v>
      </c>
      <c r="D86" s="3" t="s">
        <v>4</v>
      </c>
      <c r="E86" s="3" t="s">
        <v>24</v>
      </c>
      <c r="F86" s="3" t="s">
        <v>372</v>
      </c>
      <c r="G86" s="3" t="s">
        <v>373</v>
      </c>
      <c r="H86" s="3" t="s">
        <v>65</v>
      </c>
      <c r="I86" s="3" t="s">
        <v>374</v>
      </c>
      <c r="J86" s="7"/>
      <c r="K86" s="9">
        <v>82</v>
      </c>
      <c r="L86" s="9">
        <v>133</v>
      </c>
    </row>
    <row r="87" spans="1:12" ht="102" customHeight="1">
      <c r="A87" s="1" t="s">
        <v>11</v>
      </c>
      <c r="B87" s="1" t="s">
        <v>370</v>
      </c>
      <c r="C87" s="4" t="s">
        <v>375</v>
      </c>
      <c r="D87" s="1" t="s">
        <v>4</v>
      </c>
      <c r="E87" s="1" t="s">
        <v>24</v>
      </c>
      <c r="F87" s="1" t="s">
        <v>376</v>
      </c>
      <c r="G87" s="1" t="s">
        <v>377</v>
      </c>
      <c r="H87" s="1" t="s">
        <v>65</v>
      </c>
      <c r="I87" s="1" t="s">
        <v>374</v>
      </c>
      <c r="J87" s="6"/>
      <c r="K87" s="8">
        <v>83</v>
      </c>
      <c r="L87" s="8">
        <v>135</v>
      </c>
    </row>
    <row r="88" spans="1:12" ht="102" customHeight="1">
      <c r="A88" s="3" t="s">
        <v>11</v>
      </c>
      <c r="B88" s="3" t="s">
        <v>370</v>
      </c>
      <c r="C88" s="5" t="s">
        <v>378</v>
      </c>
      <c r="D88" s="3" t="s">
        <v>4</v>
      </c>
      <c r="E88" s="3" t="s">
        <v>24</v>
      </c>
      <c r="F88" s="3" t="s">
        <v>379</v>
      </c>
      <c r="G88" s="3" t="s">
        <v>380</v>
      </c>
      <c r="H88" s="3" t="s">
        <v>65</v>
      </c>
      <c r="I88" s="3" t="s">
        <v>374</v>
      </c>
      <c r="J88" s="7"/>
      <c r="K88" s="9">
        <v>84</v>
      </c>
      <c r="L88" s="9">
        <v>136</v>
      </c>
    </row>
    <row r="89" spans="1:12" ht="102" customHeight="1">
      <c r="A89" s="1" t="s">
        <v>11</v>
      </c>
      <c r="B89" s="1" t="s">
        <v>381</v>
      </c>
      <c r="C89" s="4" t="s">
        <v>382</v>
      </c>
      <c r="D89" s="1" t="s">
        <v>4</v>
      </c>
      <c r="E89" s="1" t="s">
        <v>20</v>
      </c>
      <c r="F89" s="1" t="s">
        <v>383</v>
      </c>
      <c r="G89" s="1" t="s">
        <v>384</v>
      </c>
      <c r="H89" s="1" t="s">
        <v>385</v>
      </c>
      <c r="I89" s="1" t="s">
        <v>386</v>
      </c>
      <c r="J89" s="6"/>
      <c r="K89" s="8">
        <v>85</v>
      </c>
      <c r="L89" s="8">
        <v>137</v>
      </c>
    </row>
    <row r="90" spans="1:12" ht="102" customHeight="1">
      <c r="A90" s="3" t="s">
        <v>11</v>
      </c>
      <c r="B90" s="3" t="s">
        <v>381</v>
      </c>
      <c r="C90" s="5" t="s">
        <v>387</v>
      </c>
      <c r="D90" s="3" t="s">
        <v>4</v>
      </c>
      <c r="E90" s="3" t="s">
        <v>20</v>
      </c>
      <c r="F90" s="3" t="s">
        <v>388</v>
      </c>
      <c r="G90" s="3" t="s">
        <v>389</v>
      </c>
      <c r="H90" s="3" t="s">
        <v>385</v>
      </c>
      <c r="I90" s="3" t="s">
        <v>386</v>
      </c>
      <c r="J90" s="7"/>
      <c r="K90" s="9">
        <v>86</v>
      </c>
      <c r="L90" s="9">
        <v>138</v>
      </c>
    </row>
    <row r="91" spans="1:12" ht="102" customHeight="1">
      <c r="A91" s="1" t="s">
        <v>11</v>
      </c>
      <c r="B91" s="1" t="s">
        <v>381</v>
      </c>
      <c r="C91" s="4" t="s">
        <v>74</v>
      </c>
      <c r="D91" s="1" t="s">
        <v>4</v>
      </c>
      <c r="E91" s="1" t="s">
        <v>20</v>
      </c>
      <c r="F91" s="1" t="s">
        <v>390</v>
      </c>
      <c r="G91" s="1" t="s">
        <v>76</v>
      </c>
      <c r="H91" s="1" t="s">
        <v>385</v>
      </c>
      <c r="I91" s="1" t="s">
        <v>386</v>
      </c>
      <c r="J91" s="6"/>
      <c r="K91" s="8">
        <v>87</v>
      </c>
      <c r="L91" s="8">
        <v>23</v>
      </c>
    </row>
    <row r="92" spans="1:12" ht="102" customHeight="1">
      <c r="A92" s="3" t="s">
        <v>11</v>
      </c>
      <c r="B92" s="3" t="s">
        <v>391</v>
      </c>
      <c r="C92" s="5" t="s">
        <v>392</v>
      </c>
      <c r="D92" s="3" t="s">
        <v>4</v>
      </c>
      <c r="E92" s="3" t="s">
        <v>20</v>
      </c>
      <c r="F92" s="3" t="s">
        <v>393</v>
      </c>
      <c r="G92" s="3" t="s">
        <v>394</v>
      </c>
      <c r="H92" s="3" t="s">
        <v>395</v>
      </c>
      <c r="I92" s="3" t="s">
        <v>396</v>
      </c>
      <c r="J92" s="7"/>
      <c r="K92" s="9">
        <v>88</v>
      </c>
      <c r="L92" s="9">
        <v>139</v>
      </c>
    </row>
    <row r="93" spans="1:12" ht="102" customHeight="1">
      <c r="A93" s="1" t="s">
        <v>11</v>
      </c>
      <c r="B93" s="1" t="s">
        <v>391</v>
      </c>
      <c r="C93" s="4" t="s">
        <v>397</v>
      </c>
      <c r="D93" s="1" t="s">
        <v>4</v>
      </c>
      <c r="E93" s="1" t="s">
        <v>22</v>
      </c>
      <c r="F93" s="1" t="s">
        <v>398</v>
      </c>
      <c r="G93" s="1" t="s">
        <v>399</v>
      </c>
      <c r="H93" s="1" t="s">
        <v>395</v>
      </c>
      <c r="I93" s="1" t="s">
        <v>396</v>
      </c>
      <c r="J93" s="6"/>
      <c r="K93" s="8">
        <v>89</v>
      </c>
      <c r="L93" s="8">
        <v>141</v>
      </c>
    </row>
    <row r="94" spans="1:12" ht="102" customHeight="1">
      <c r="A94" s="3" t="s">
        <v>11</v>
      </c>
      <c r="B94" s="3" t="s">
        <v>391</v>
      </c>
      <c r="C94" s="5" t="s">
        <v>400</v>
      </c>
      <c r="D94" s="3" t="s">
        <v>4</v>
      </c>
      <c r="E94" s="3" t="s">
        <v>20</v>
      </c>
      <c r="F94" s="3" t="s">
        <v>401</v>
      </c>
      <c r="G94" s="3" t="s">
        <v>402</v>
      </c>
      <c r="H94" s="3" t="s">
        <v>395</v>
      </c>
      <c r="I94" s="3" t="s">
        <v>396</v>
      </c>
      <c r="J94" s="7"/>
      <c r="K94" s="9">
        <v>90</v>
      </c>
      <c r="L94" s="9">
        <v>143</v>
      </c>
    </row>
    <row r="95" spans="1:12" ht="102" customHeight="1">
      <c r="A95" s="1" t="s">
        <v>11</v>
      </c>
      <c r="B95" s="1" t="s">
        <v>403</v>
      </c>
      <c r="C95" s="4" t="s">
        <v>404</v>
      </c>
      <c r="D95" s="1" t="s">
        <v>4</v>
      </c>
      <c r="E95" s="1" t="s">
        <v>22</v>
      </c>
      <c r="F95" s="1" t="s">
        <v>405</v>
      </c>
      <c r="G95" s="1" t="s">
        <v>406</v>
      </c>
      <c r="H95" s="1" t="s">
        <v>407</v>
      </c>
      <c r="I95" s="1" t="s">
        <v>408</v>
      </c>
      <c r="J95" s="6"/>
      <c r="K95" s="8">
        <v>91</v>
      </c>
      <c r="L95" s="8">
        <v>148</v>
      </c>
    </row>
    <row r="96" spans="1:12" ht="102" customHeight="1">
      <c r="A96" s="3" t="s">
        <v>11</v>
      </c>
      <c r="B96" s="3" t="s">
        <v>403</v>
      </c>
      <c r="C96" s="5" t="s">
        <v>409</v>
      </c>
      <c r="D96" s="3" t="s">
        <v>4</v>
      </c>
      <c r="E96" s="3" t="s">
        <v>20</v>
      </c>
      <c r="F96" s="3" t="s">
        <v>410</v>
      </c>
      <c r="G96" s="3" t="s">
        <v>411</v>
      </c>
      <c r="H96" s="3" t="s">
        <v>407</v>
      </c>
      <c r="I96" s="3" t="s">
        <v>408</v>
      </c>
      <c r="J96" s="7"/>
      <c r="K96" s="9">
        <v>92</v>
      </c>
      <c r="L96" s="9">
        <v>149</v>
      </c>
    </row>
    <row r="97" spans="1:12" ht="102" customHeight="1">
      <c r="A97" s="1" t="s">
        <v>11</v>
      </c>
      <c r="B97" s="1" t="s">
        <v>403</v>
      </c>
      <c r="C97" s="4" t="s">
        <v>412</v>
      </c>
      <c r="D97" s="1" t="s">
        <v>4</v>
      </c>
      <c r="E97" s="1" t="s">
        <v>20</v>
      </c>
      <c r="F97" s="1" t="s">
        <v>413</v>
      </c>
      <c r="G97" s="1" t="s">
        <v>414</v>
      </c>
      <c r="H97" s="1" t="s">
        <v>407</v>
      </c>
      <c r="I97" s="1" t="s">
        <v>408</v>
      </c>
      <c r="J97" s="6"/>
      <c r="K97" s="8">
        <v>93</v>
      </c>
      <c r="L97" s="8">
        <v>153</v>
      </c>
    </row>
    <row r="98" spans="1:12" ht="102" customHeight="1">
      <c r="A98" s="3" t="s">
        <v>11</v>
      </c>
      <c r="B98" s="3" t="s">
        <v>415</v>
      </c>
      <c r="C98" s="5" t="s">
        <v>416</v>
      </c>
      <c r="D98" s="3" t="s">
        <v>5</v>
      </c>
      <c r="E98" s="3" t="s">
        <v>26</v>
      </c>
      <c r="F98" s="3" t="s">
        <v>417</v>
      </c>
      <c r="G98" s="3" t="s">
        <v>418</v>
      </c>
      <c r="H98" s="3" t="s">
        <v>419</v>
      </c>
      <c r="I98" s="3" t="s">
        <v>420</v>
      </c>
      <c r="J98" s="7"/>
      <c r="K98" s="9">
        <v>94</v>
      </c>
      <c r="L98" s="9">
        <v>154</v>
      </c>
    </row>
    <row r="99" spans="1:12" ht="102" customHeight="1">
      <c r="A99" s="1" t="s">
        <v>11</v>
      </c>
      <c r="B99" s="1" t="s">
        <v>415</v>
      </c>
      <c r="C99" s="4" t="s">
        <v>421</v>
      </c>
      <c r="D99" s="1" t="s">
        <v>4</v>
      </c>
      <c r="E99" s="1" t="s">
        <v>20</v>
      </c>
      <c r="F99" s="1" t="s">
        <v>422</v>
      </c>
      <c r="G99" s="1" t="s">
        <v>423</v>
      </c>
      <c r="H99" s="1" t="s">
        <v>419</v>
      </c>
      <c r="I99" s="1" t="s">
        <v>420</v>
      </c>
      <c r="J99" s="6"/>
      <c r="K99" s="8">
        <v>95</v>
      </c>
      <c r="L99" s="8">
        <v>157</v>
      </c>
    </row>
    <row r="100" spans="1:12" ht="102" customHeight="1">
      <c r="A100" s="3" t="s">
        <v>11</v>
      </c>
      <c r="B100" s="3" t="s">
        <v>415</v>
      </c>
      <c r="C100" s="5" t="s">
        <v>424</v>
      </c>
      <c r="D100" s="3" t="s">
        <v>4</v>
      </c>
      <c r="E100" s="3" t="s">
        <v>20</v>
      </c>
      <c r="F100" s="3" t="s">
        <v>425</v>
      </c>
      <c r="G100" s="3" t="s">
        <v>426</v>
      </c>
      <c r="H100" s="3" t="s">
        <v>419</v>
      </c>
      <c r="I100" s="3" t="s">
        <v>420</v>
      </c>
      <c r="J100" s="7"/>
      <c r="K100" s="9">
        <v>96</v>
      </c>
      <c r="L100" s="9">
        <v>159</v>
      </c>
    </row>
    <row r="101" spans="1:12" ht="102" customHeight="1">
      <c r="A101" s="1" t="s">
        <v>11</v>
      </c>
      <c r="B101" s="1" t="s">
        <v>427</v>
      </c>
      <c r="C101" s="4" t="s">
        <v>428</v>
      </c>
      <c r="D101" s="1" t="s">
        <v>4</v>
      </c>
      <c r="E101" s="1" t="s">
        <v>20</v>
      </c>
      <c r="F101" s="1" t="s">
        <v>429</v>
      </c>
      <c r="G101" s="1" t="s">
        <v>430</v>
      </c>
      <c r="H101" s="1" t="s">
        <v>431</v>
      </c>
      <c r="I101" s="1" t="s">
        <v>432</v>
      </c>
      <c r="J101" s="6"/>
      <c r="K101" s="8">
        <v>97</v>
      </c>
      <c r="L101" s="8">
        <v>160</v>
      </c>
    </row>
    <row r="102" spans="1:12" ht="102" customHeight="1">
      <c r="A102" s="3" t="s">
        <v>11</v>
      </c>
      <c r="B102" s="3" t="s">
        <v>427</v>
      </c>
      <c r="C102" s="5" t="s">
        <v>433</v>
      </c>
      <c r="D102" s="3" t="s">
        <v>4</v>
      </c>
      <c r="E102" s="3" t="s">
        <v>20</v>
      </c>
      <c r="F102" s="3" t="s">
        <v>434</v>
      </c>
      <c r="G102" s="3" t="s">
        <v>435</v>
      </c>
      <c r="H102" s="3" t="s">
        <v>431</v>
      </c>
      <c r="I102" s="3" t="s">
        <v>432</v>
      </c>
      <c r="J102" s="7"/>
      <c r="K102" s="9">
        <v>98</v>
      </c>
      <c r="L102" s="9">
        <v>162</v>
      </c>
    </row>
    <row r="103" spans="1:12" ht="102" customHeight="1">
      <c r="A103" s="1" t="s">
        <v>11</v>
      </c>
      <c r="B103" s="1" t="s">
        <v>427</v>
      </c>
      <c r="C103" s="4" t="s">
        <v>436</v>
      </c>
      <c r="D103" s="1" t="s">
        <v>4</v>
      </c>
      <c r="E103" s="1" t="s">
        <v>20</v>
      </c>
      <c r="F103" s="1" t="s">
        <v>437</v>
      </c>
      <c r="G103" s="1" t="s">
        <v>438</v>
      </c>
      <c r="H103" s="1" t="s">
        <v>431</v>
      </c>
      <c r="I103" s="1" t="s">
        <v>432</v>
      </c>
      <c r="J103" s="6"/>
      <c r="K103" s="8">
        <v>99</v>
      </c>
      <c r="L103" s="8">
        <v>163</v>
      </c>
    </row>
    <row r="104" spans="1:12" ht="102" customHeight="1">
      <c r="A104" s="3" t="s">
        <v>12</v>
      </c>
      <c r="B104" s="3" t="s">
        <v>439</v>
      </c>
      <c r="C104" s="5" t="s">
        <v>440</v>
      </c>
      <c r="D104" s="3" t="s">
        <v>4</v>
      </c>
      <c r="E104" s="3" t="s">
        <v>20</v>
      </c>
      <c r="F104" s="3" t="s">
        <v>441</v>
      </c>
      <c r="G104" s="3" t="s">
        <v>442</v>
      </c>
      <c r="H104" s="3" t="s">
        <v>443</v>
      </c>
      <c r="I104" s="3" t="s">
        <v>444</v>
      </c>
      <c r="J104" s="7">
        <v>0.95715469121932983</v>
      </c>
      <c r="K104" s="9">
        <v>100</v>
      </c>
      <c r="L104" s="9">
        <v>164</v>
      </c>
    </row>
    <row r="105" spans="1:12" ht="102" customHeight="1">
      <c r="A105" s="1" t="s">
        <v>12</v>
      </c>
      <c r="B105" s="1" t="s">
        <v>439</v>
      </c>
      <c r="C105" s="4" t="s">
        <v>382</v>
      </c>
      <c r="D105" s="1" t="s">
        <v>4</v>
      </c>
      <c r="E105" s="1" t="s">
        <v>20</v>
      </c>
      <c r="F105" s="1" t="s">
        <v>445</v>
      </c>
      <c r="G105" s="1" t="s">
        <v>384</v>
      </c>
      <c r="H105" s="1" t="s">
        <v>443</v>
      </c>
      <c r="I105" s="1" t="s">
        <v>444</v>
      </c>
      <c r="J105" s="6">
        <v>0.9414488673210144</v>
      </c>
      <c r="K105" s="8">
        <v>101</v>
      </c>
      <c r="L105" s="8">
        <v>137</v>
      </c>
    </row>
    <row r="106" spans="1:12" ht="102" customHeight="1">
      <c r="A106" s="3" t="s">
        <v>12</v>
      </c>
      <c r="B106" s="3" t="s">
        <v>439</v>
      </c>
      <c r="C106" s="5" t="s">
        <v>446</v>
      </c>
      <c r="D106" s="3" t="s">
        <v>4</v>
      </c>
      <c r="E106" s="3" t="s">
        <v>20</v>
      </c>
      <c r="F106" s="3" t="s">
        <v>447</v>
      </c>
      <c r="G106" s="3" t="s">
        <v>448</v>
      </c>
      <c r="H106" s="3" t="s">
        <v>443</v>
      </c>
      <c r="I106" s="3" t="s">
        <v>444</v>
      </c>
      <c r="J106" s="7">
        <v>0.93964427709579468</v>
      </c>
      <c r="K106" s="9">
        <v>102</v>
      </c>
      <c r="L106" s="9">
        <v>165</v>
      </c>
    </row>
    <row r="107" spans="1:12" ht="102" customHeight="1">
      <c r="A107" s="1" t="s">
        <v>12</v>
      </c>
      <c r="B107" s="1" t="s">
        <v>449</v>
      </c>
      <c r="C107" s="4" t="s">
        <v>450</v>
      </c>
      <c r="D107" s="1" t="s">
        <v>4</v>
      </c>
      <c r="E107" s="1" t="s">
        <v>20</v>
      </c>
      <c r="F107" s="1" t="s">
        <v>451</v>
      </c>
      <c r="G107" s="1" t="s">
        <v>452</v>
      </c>
      <c r="H107" s="1" t="s">
        <v>453</v>
      </c>
      <c r="I107" s="1" t="s">
        <v>454</v>
      </c>
      <c r="J107" s="6">
        <v>0.61361551284790039</v>
      </c>
      <c r="K107" s="8">
        <v>103</v>
      </c>
      <c r="L107" s="8">
        <v>167</v>
      </c>
    </row>
    <row r="108" spans="1:12" ht="102" customHeight="1">
      <c r="A108" s="3" t="s">
        <v>12</v>
      </c>
      <c r="B108" s="3" t="s">
        <v>449</v>
      </c>
      <c r="C108" s="5" t="s">
        <v>455</v>
      </c>
      <c r="D108" s="3" t="s">
        <v>4</v>
      </c>
      <c r="E108" s="3" t="s">
        <v>22</v>
      </c>
      <c r="F108" s="3" t="s">
        <v>456</v>
      </c>
      <c r="G108" s="3" t="s">
        <v>457</v>
      </c>
      <c r="H108" s="3" t="s">
        <v>453</v>
      </c>
      <c r="I108" s="3" t="s">
        <v>454</v>
      </c>
      <c r="J108" s="7">
        <v>0.58188408613204956</v>
      </c>
      <c r="K108" s="9">
        <v>104</v>
      </c>
      <c r="L108" s="9">
        <v>168</v>
      </c>
    </row>
    <row r="109" spans="1:12" ht="102" customHeight="1">
      <c r="A109" s="1" t="s">
        <v>12</v>
      </c>
      <c r="B109" s="1" t="s">
        <v>449</v>
      </c>
      <c r="C109" s="4" t="s">
        <v>458</v>
      </c>
      <c r="D109" s="1" t="s">
        <v>4</v>
      </c>
      <c r="E109" s="1" t="s">
        <v>22</v>
      </c>
      <c r="F109" s="1" t="s">
        <v>459</v>
      </c>
      <c r="G109" s="1" t="s">
        <v>460</v>
      </c>
      <c r="H109" s="1" t="s">
        <v>453</v>
      </c>
      <c r="I109" s="1" t="s">
        <v>454</v>
      </c>
      <c r="J109" s="6">
        <v>0.55665171146392822</v>
      </c>
      <c r="K109" s="8">
        <v>105</v>
      </c>
      <c r="L109" s="8">
        <v>169</v>
      </c>
    </row>
    <row r="110" spans="1:12" ht="102" customHeight="1">
      <c r="A110" s="3" t="s">
        <v>12</v>
      </c>
      <c r="B110" s="3" t="s">
        <v>461</v>
      </c>
      <c r="C110" s="5" t="s">
        <v>462</v>
      </c>
      <c r="D110" s="3" t="s">
        <v>4</v>
      </c>
      <c r="E110" s="3" t="s">
        <v>20</v>
      </c>
      <c r="F110" s="3" t="s">
        <v>463</v>
      </c>
      <c r="G110" s="3" t="s">
        <v>464</v>
      </c>
      <c r="H110" s="3" t="s">
        <v>465</v>
      </c>
      <c r="I110" s="3" t="s">
        <v>466</v>
      </c>
      <c r="J110" s="7">
        <v>0.70476329326629639</v>
      </c>
      <c r="K110" s="9">
        <v>106</v>
      </c>
      <c r="L110" s="9">
        <v>170</v>
      </c>
    </row>
    <row r="111" spans="1:12" ht="102" customHeight="1">
      <c r="A111" s="1" t="s">
        <v>12</v>
      </c>
      <c r="B111" s="1" t="s">
        <v>461</v>
      </c>
      <c r="C111" s="4" t="s">
        <v>139</v>
      </c>
      <c r="D111" s="1" t="s">
        <v>4</v>
      </c>
      <c r="E111" s="1" t="s">
        <v>20</v>
      </c>
      <c r="F111" s="1" t="s">
        <v>467</v>
      </c>
      <c r="G111" s="1" t="s">
        <v>141</v>
      </c>
      <c r="H111" s="1" t="s">
        <v>465</v>
      </c>
      <c r="I111" s="1" t="s">
        <v>466</v>
      </c>
      <c r="J111" s="6">
        <v>0.65682387351989746</v>
      </c>
      <c r="K111" s="8">
        <v>107</v>
      </c>
      <c r="L111" s="8">
        <v>48</v>
      </c>
    </row>
    <row r="112" spans="1:12" ht="102" customHeight="1">
      <c r="A112" s="3" t="s">
        <v>12</v>
      </c>
      <c r="B112" s="3" t="s">
        <v>461</v>
      </c>
      <c r="C112" s="5" t="s">
        <v>142</v>
      </c>
      <c r="D112" s="3" t="s">
        <v>4</v>
      </c>
      <c r="E112" s="3" t="s">
        <v>20</v>
      </c>
      <c r="F112" s="3" t="s">
        <v>468</v>
      </c>
      <c r="G112" s="3" t="s">
        <v>144</v>
      </c>
      <c r="H112" s="3" t="s">
        <v>465</v>
      </c>
      <c r="I112" s="3" t="s">
        <v>466</v>
      </c>
      <c r="J112" s="7">
        <v>0.57270842790603638</v>
      </c>
      <c r="K112" s="9">
        <v>108</v>
      </c>
      <c r="L112" s="9">
        <v>49</v>
      </c>
    </row>
    <row r="113" spans="1:12" ht="102" customHeight="1">
      <c r="A113" s="1" t="s">
        <v>12</v>
      </c>
      <c r="B113" s="1" t="s">
        <v>469</v>
      </c>
      <c r="C113" s="4" t="s">
        <v>259</v>
      </c>
      <c r="D113" s="1" t="s">
        <v>4</v>
      </c>
      <c r="E113" s="1" t="s">
        <v>20</v>
      </c>
      <c r="F113" s="1" t="s">
        <v>470</v>
      </c>
      <c r="G113" s="1" t="s">
        <v>261</v>
      </c>
      <c r="H113" s="1" t="s">
        <v>471</v>
      </c>
      <c r="I113" s="1" t="s">
        <v>472</v>
      </c>
      <c r="J113" s="6">
        <v>0.67706912755966187</v>
      </c>
      <c r="K113" s="8">
        <v>109</v>
      </c>
      <c r="L113" s="8">
        <v>86</v>
      </c>
    </row>
    <row r="114" spans="1:12" ht="102" customHeight="1">
      <c r="A114" s="3" t="s">
        <v>12</v>
      </c>
      <c r="B114" s="3" t="s">
        <v>469</v>
      </c>
      <c r="C114" s="5" t="s">
        <v>473</v>
      </c>
      <c r="D114" s="3" t="s">
        <v>4</v>
      </c>
      <c r="E114" s="3" t="s">
        <v>20</v>
      </c>
      <c r="F114" s="3" t="s">
        <v>474</v>
      </c>
      <c r="G114" s="3" t="s">
        <v>475</v>
      </c>
      <c r="H114" s="3" t="s">
        <v>471</v>
      </c>
      <c r="I114" s="3" t="s">
        <v>472</v>
      </c>
      <c r="J114" s="7">
        <v>0.62411993741989136</v>
      </c>
      <c r="K114" s="9">
        <v>110</v>
      </c>
      <c r="L114" s="9">
        <v>171</v>
      </c>
    </row>
    <row r="115" spans="1:12" ht="102" customHeight="1">
      <c r="A115" s="1" t="s">
        <v>12</v>
      </c>
      <c r="B115" s="1" t="s">
        <v>469</v>
      </c>
      <c r="C115" s="4" t="s">
        <v>476</v>
      </c>
      <c r="D115" s="1" t="s">
        <v>4</v>
      </c>
      <c r="E115" s="1" t="s">
        <v>22</v>
      </c>
      <c r="F115" s="1" t="s">
        <v>477</v>
      </c>
      <c r="G115" s="1" t="s">
        <v>478</v>
      </c>
      <c r="H115" s="1" t="s">
        <v>471</v>
      </c>
      <c r="I115" s="1" t="s">
        <v>472</v>
      </c>
      <c r="J115" s="6">
        <v>0.59494894742965698</v>
      </c>
      <c r="K115" s="8">
        <v>111</v>
      </c>
      <c r="L115" s="8">
        <v>172</v>
      </c>
    </row>
    <row r="116" spans="1:12" ht="102" customHeight="1">
      <c r="A116" s="3" t="s">
        <v>12</v>
      </c>
      <c r="B116" s="3" t="s">
        <v>479</v>
      </c>
      <c r="C116" s="5" t="s">
        <v>62</v>
      </c>
      <c r="D116" s="3" t="s">
        <v>4</v>
      </c>
      <c r="E116" s="3" t="s">
        <v>24</v>
      </c>
      <c r="F116" s="3" t="s">
        <v>480</v>
      </c>
      <c r="G116" s="3" t="s">
        <v>64</v>
      </c>
      <c r="H116" s="3" t="s">
        <v>65</v>
      </c>
      <c r="I116" s="3" t="s">
        <v>481</v>
      </c>
      <c r="J116" s="7">
        <v>0.80934375524520874</v>
      </c>
      <c r="K116" s="9">
        <v>112</v>
      </c>
      <c r="L116" s="9">
        <v>20</v>
      </c>
    </row>
    <row r="117" spans="1:12" ht="102" customHeight="1">
      <c r="A117" s="1" t="s">
        <v>12</v>
      </c>
      <c r="B117" s="1" t="s">
        <v>479</v>
      </c>
      <c r="C117" s="4" t="s">
        <v>67</v>
      </c>
      <c r="D117" s="1" t="s">
        <v>4</v>
      </c>
      <c r="E117" s="1" t="s">
        <v>24</v>
      </c>
      <c r="F117" s="1" t="s">
        <v>482</v>
      </c>
      <c r="G117" s="1" t="s">
        <v>69</v>
      </c>
      <c r="H117" s="1" t="s">
        <v>65</v>
      </c>
      <c r="I117" s="1" t="s">
        <v>481</v>
      </c>
      <c r="J117" s="6">
        <v>0.80934375524520874</v>
      </c>
      <c r="K117" s="8">
        <v>113</v>
      </c>
      <c r="L117" s="8">
        <v>21</v>
      </c>
    </row>
    <row r="118" spans="1:12" ht="102" customHeight="1">
      <c r="A118" s="3" t="s">
        <v>12</v>
      </c>
      <c r="B118" s="3" t="s">
        <v>479</v>
      </c>
      <c r="C118" s="5" t="s">
        <v>70</v>
      </c>
      <c r="D118" s="3" t="s">
        <v>4</v>
      </c>
      <c r="E118" s="3" t="s">
        <v>24</v>
      </c>
      <c r="F118" s="3" t="s">
        <v>483</v>
      </c>
      <c r="G118" s="3" t="s">
        <v>72</v>
      </c>
      <c r="H118" s="3" t="s">
        <v>65</v>
      </c>
      <c r="I118" s="3" t="s">
        <v>481</v>
      </c>
      <c r="J118" s="7">
        <v>0.80934375524520874</v>
      </c>
      <c r="K118" s="9">
        <v>114</v>
      </c>
      <c r="L118" s="9">
        <v>22</v>
      </c>
    </row>
    <row r="119" spans="1:12" ht="102" customHeight="1">
      <c r="A119" s="1" t="s">
        <v>12</v>
      </c>
      <c r="B119" s="1" t="s">
        <v>484</v>
      </c>
      <c r="C119" s="4" t="s">
        <v>170</v>
      </c>
      <c r="D119" s="1" t="s">
        <v>4</v>
      </c>
      <c r="E119" s="1" t="s">
        <v>20</v>
      </c>
      <c r="F119" s="1" t="s">
        <v>485</v>
      </c>
      <c r="G119" s="1" t="s">
        <v>172</v>
      </c>
      <c r="H119" s="1" t="s">
        <v>89</v>
      </c>
      <c r="I119" s="1" t="s">
        <v>486</v>
      </c>
      <c r="J119" s="6">
        <v>0.9929010272026062</v>
      </c>
      <c r="K119" s="8">
        <v>115</v>
      </c>
      <c r="L119" s="8">
        <v>57</v>
      </c>
    </row>
    <row r="120" spans="1:12" ht="102" customHeight="1">
      <c r="A120" s="3" t="s">
        <v>12</v>
      </c>
      <c r="B120" s="3" t="s">
        <v>484</v>
      </c>
      <c r="C120" s="5" t="s">
        <v>487</v>
      </c>
      <c r="D120" s="3" t="s">
        <v>4</v>
      </c>
      <c r="E120" s="3" t="s">
        <v>20</v>
      </c>
      <c r="F120" s="3" t="s">
        <v>488</v>
      </c>
      <c r="G120" s="3" t="s">
        <v>489</v>
      </c>
      <c r="H120" s="3" t="s">
        <v>89</v>
      </c>
      <c r="I120" s="3" t="s">
        <v>486</v>
      </c>
      <c r="J120" s="7">
        <v>0.98422914743423462</v>
      </c>
      <c r="K120" s="9">
        <v>116</v>
      </c>
      <c r="L120" s="9">
        <v>173</v>
      </c>
    </row>
    <row r="121" spans="1:12" ht="102" customHeight="1">
      <c r="A121" s="1" t="s">
        <v>12</v>
      </c>
      <c r="B121" s="1" t="s">
        <v>484</v>
      </c>
      <c r="C121" s="4" t="s">
        <v>490</v>
      </c>
      <c r="D121" s="1" t="s">
        <v>4</v>
      </c>
      <c r="E121" s="1" t="s">
        <v>22</v>
      </c>
      <c r="F121" s="1" t="s">
        <v>491</v>
      </c>
      <c r="G121" s="1" t="s">
        <v>492</v>
      </c>
      <c r="H121" s="1" t="s">
        <v>89</v>
      </c>
      <c r="I121" s="1" t="s">
        <v>486</v>
      </c>
      <c r="J121" s="6">
        <v>0.97697186470031738</v>
      </c>
      <c r="K121" s="8">
        <v>117</v>
      </c>
      <c r="L121" s="8">
        <v>174</v>
      </c>
    </row>
    <row r="122" spans="1:12" ht="102" customHeight="1">
      <c r="A122" s="3" t="s">
        <v>12</v>
      </c>
      <c r="B122" s="3" t="s">
        <v>493</v>
      </c>
      <c r="C122" s="5" t="s">
        <v>158</v>
      </c>
      <c r="D122" s="3" t="s">
        <v>4</v>
      </c>
      <c r="E122" s="3" t="s">
        <v>20</v>
      </c>
      <c r="F122" s="3" t="s">
        <v>494</v>
      </c>
      <c r="G122" s="3" t="s">
        <v>160</v>
      </c>
      <c r="H122" s="3" t="s">
        <v>101</v>
      </c>
      <c r="I122" s="3" t="s">
        <v>495</v>
      </c>
      <c r="J122" s="7">
        <v>0.98112159967422485</v>
      </c>
      <c r="K122" s="9">
        <v>118</v>
      </c>
      <c r="L122" s="9">
        <v>54</v>
      </c>
    </row>
    <row r="123" spans="1:12" ht="102" customHeight="1">
      <c r="A123" s="1" t="s">
        <v>12</v>
      </c>
      <c r="B123" s="1" t="s">
        <v>493</v>
      </c>
      <c r="C123" s="4" t="s">
        <v>496</v>
      </c>
      <c r="D123" s="1" t="s">
        <v>4</v>
      </c>
      <c r="E123" s="1" t="s">
        <v>20</v>
      </c>
      <c r="F123" s="1" t="s">
        <v>497</v>
      </c>
      <c r="G123" s="1" t="s">
        <v>498</v>
      </c>
      <c r="H123" s="1" t="s">
        <v>101</v>
      </c>
      <c r="I123" s="1" t="s">
        <v>495</v>
      </c>
      <c r="J123" s="6">
        <v>0.91342788934707642</v>
      </c>
      <c r="K123" s="8">
        <v>119</v>
      </c>
      <c r="L123" s="8">
        <v>175</v>
      </c>
    </row>
    <row r="124" spans="1:12" ht="102" customHeight="1">
      <c r="A124" s="3" t="s">
        <v>12</v>
      </c>
      <c r="B124" s="3" t="s">
        <v>493</v>
      </c>
      <c r="C124" s="5" t="s">
        <v>499</v>
      </c>
      <c r="D124" s="3" t="s">
        <v>4</v>
      </c>
      <c r="E124" s="3" t="s">
        <v>20</v>
      </c>
      <c r="F124" s="3" t="s">
        <v>500</v>
      </c>
      <c r="G124" s="3" t="s">
        <v>501</v>
      </c>
      <c r="H124" s="3" t="s">
        <v>101</v>
      </c>
      <c r="I124" s="3" t="s">
        <v>495</v>
      </c>
      <c r="J124" s="7">
        <v>0.89412444829940796</v>
      </c>
      <c r="K124" s="9">
        <v>120</v>
      </c>
      <c r="L124" s="9">
        <v>176</v>
      </c>
    </row>
    <row r="125" spans="1:12" ht="102" customHeight="1">
      <c r="A125" s="1" t="s">
        <v>12</v>
      </c>
      <c r="B125" s="1" t="s">
        <v>502</v>
      </c>
      <c r="C125" s="4" t="s">
        <v>110</v>
      </c>
      <c r="D125" s="1" t="s">
        <v>4</v>
      </c>
      <c r="E125" s="1" t="s">
        <v>20</v>
      </c>
      <c r="F125" s="1" t="s">
        <v>503</v>
      </c>
      <c r="G125" s="1" t="s">
        <v>112</v>
      </c>
      <c r="H125" s="1" t="s">
        <v>504</v>
      </c>
      <c r="I125" s="1" t="s">
        <v>505</v>
      </c>
      <c r="J125" s="6">
        <v>0.9713405966758728</v>
      </c>
      <c r="K125" s="8">
        <v>121</v>
      </c>
      <c r="L125" s="8">
        <v>41</v>
      </c>
    </row>
    <row r="126" spans="1:12" ht="102" customHeight="1">
      <c r="A126" s="3" t="s">
        <v>12</v>
      </c>
      <c r="B126" s="3" t="s">
        <v>502</v>
      </c>
      <c r="C126" s="5" t="s">
        <v>251</v>
      </c>
      <c r="D126" s="3" t="s">
        <v>6</v>
      </c>
      <c r="E126" s="3" t="s">
        <v>28</v>
      </c>
      <c r="F126" s="3" t="s">
        <v>506</v>
      </c>
      <c r="G126" s="3" t="s">
        <v>253</v>
      </c>
      <c r="H126" s="3" t="s">
        <v>504</v>
      </c>
      <c r="I126" s="3" t="s">
        <v>505</v>
      </c>
      <c r="J126" s="7">
        <v>0.89578491449356079</v>
      </c>
      <c r="K126" s="9">
        <v>122</v>
      </c>
      <c r="L126" s="9">
        <v>84</v>
      </c>
    </row>
    <row r="127" spans="1:12" ht="102" customHeight="1">
      <c r="A127" s="1" t="s">
        <v>12</v>
      </c>
      <c r="B127" s="1" t="s">
        <v>502</v>
      </c>
      <c r="C127" s="4" t="s">
        <v>316</v>
      </c>
      <c r="D127" s="1" t="s">
        <v>4</v>
      </c>
      <c r="E127" s="1" t="s">
        <v>20</v>
      </c>
      <c r="F127" s="1" t="s">
        <v>507</v>
      </c>
      <c r="G127" s="1" t="s">
        <v>318</v>
      </c>
      <c r="H127" s="1" t="s">
        <v>504</v>
      </c>
      <c r="I127" s="1" t="s">
        <v>505</v>
      </c>
      <c r="J127" s="6">
        <v>0.60111969709396362</v>
      </c>
      <c r="K127" s="8">
        <v>123</v>
      </c>
      <c r="L127" s="8">
        <v>103</v>
      </c>
    </row>
    <row r="128" spans="1:12" ht="102" customHeight="1">
      <c r="A128" s="3" t="s">
        <v>12</v>
      </c>
      <c r="B128" s="3" t="s">
        <v>508</v>
      </c>
      <c r="C128" s="5" t="s">
        <v>146</v>
      </c>
      <c r="D128" s="3" t="s">
        <v>4</v>
      </c>
      <c r="E128" s="3" t="s">
        <v>20</v>
      </c>
      <c r="F128" s="3" t="s">
        <v>509</v>
      </c>
      <c r="G128" s="3" t="s">
        <v>148</v>
      </c>
      <c r="H128" s="3" t="s">
        <v>510</v>
      </c>
      <c r="I128" s="3" t="s">
        <v>511</v>
      </c>
      <c r="J128" s="7">
        <v>0.9999469518661499</v>
      </c>
      <c r="K128" s="9">
        <v>124</v>
      </c>
      <c r="L128" s="9">
        <v>50</v>
      </c>
    </row>
    <row r="129" spans="1:12" ht="102" customHeight="1">
      <c r="A129" s="1" t="s">
        <v>12</v>
      </c>
      <c r="B129" s="1" t="s">
        <v>508</v>
      </c>
      <c r="C129" s="4" t="s">
        <v>151</v>
      </c>
      <c r="D129" s="1" t="s">
        <v>4</v>
      </c>
      <c r="E129" s="1" t="s">
        <v>20</v>
      </c>
      <c r="F129" s="1" t="s">
        <v>512</v>
      </c>
      <c r="G129" s="1" t="s">
        <v>153</v>
      </c>
      <c r="H129" s="1" t="s">
        <v>510</v>
      </c>
      <c r="I129" s="1" t="s">
        <v>511</v>
      </c>
      <c r="J129" s="6">
        <v>0.9999469518661499</v>
      </c>
      <c r="K129" s="8">
        <v>125</v>
      </c>
      <c r="L129" s="8">
        <v>51</v>
      </c>
    </row>
    <row r="130" spans="1:12" ht="102" customHeight="1">
      <c r="A130" s="3" t="s">
        <v>12</v>
      </c>
      <c r="B130" s="3" t="s">
        <v>508</v>
      </c>
      <c r="C130" s="5" t="s">
        <v>513</v>
      </c>
      <c r="D130" s="3" t="s">
        <v>4</v>
      </c>
      <c r="E130" s="3" t="s">
        <v>20</v>
      </c>
      <c r="F130" s="3" t="s">
        <v>514</v>
      </c>
      <c r="G130" s="3" t="s">
        <v>515</v>
      </c>
      <c r="H130" s="3" t="s">
        <v>510</v>
      </c>
      <c r="I130" s="3" t="s">
        <v>511</v>
      </c>
      <c r="J130" s="7">
        <v>0.70933312177658081</v>
      </c>
      <c r="K130" s="9">
        <v>126</v>
      </c>
      <c r="L130" s="9">
        <v>177</v>
      </c>
    </row>
    <row r="131" spans="1:12" ht="102" customHeight="1">
      <c r="A131" s="1" t="s">
        <v>12</v>
      </c>
      <c r="B131" s="1" t="s">
        <v>516</v>
      </c>
      <c r="C131" s="4" t="s">
        <v>517</v>
      </c>
      <c r="D131" s="1" t="s">
        <v>4</v>
      </c>
      <c r="E131" s="1" t="s">
        <v>20</v>
      </c>
      <c r="F131" s="1" t="s">
        <v>518</v>
      </c>
      <c r="G131" s="1" t="s">
        <v>519</v>
      </c>
      <c r="H131" s="1" t="s">
        <v>520</v>
      </c>
      <c r="I131" s="1" t="s">
        <v>521</v>
      </c>
      <c r="J131" s="6">
        <v>0.81433361768722534</v>
      </c>
      <c r="K131" s="8">
        <v>127</v>
      </c>
      <c r="L131" s="8">
        <v>178</v>
      </c>
    </row>
    <row r="132" spans="1:12" ht="102" customHeight="1">
      <c r="A132" s="3" t="s">
        <v>12</v>
      </c>
      <c r="B132" s="3" t="s">
        <v>516</v>
      </c>
      <c r="C132" s="5" t="s">
        <v>522</v>
      </c>
      <c r="D132" s="3" t="s">
        <v>4</v>
      </c>
      <c r="E132" s="3" t="s">
        <v>20</v>
      </c>
      <c r="F132" s="3" t="s">
        <v>523</v>
      </c>
      <c r="G132" s="3" t="s">
        <v>524</v>
      </c>
      <c r="H132" s="3" t="s">
        <v>520</v>
      </c>
      <c r="I132" s="3" t="s">
        <v>521</v>
      </c>
      <c r="J132" s="7">
        <v>0.62367665767669678</v>
      </c>
      <c r="K132" s="9">
        <v>128</v>
      </c>
      <c r="L132" s="9">
        <v>179</v>
      </c>
    </row>
    <row r="133" spans="1:12" ht="102" customHeight="1">
      <c r="A133" s="1" t="s">
        <v>12</v>
      </c>
      <c r="B133" s="1" t="s">
        <v>516</v>
      </c>
      <c r="C133" s="4" t="s">
        <v>228</v>
      </c>
      <c r="D133" s="1" t="s">
        <v>4</v>
      </c>
      <c r="E133" s="1" t="s">
        <v>20</v>
      </c>
      <c r="F133" s="1" t="s">
        <v>525</v>
      </c>
      <c r="G133" s="1" t="s">
        <v>230</v>
      </c>
      <c r="H133" s="1" t="s">
        <v>520</v>
      </c>
      <c r="I133" s="1" t="s">
        <v>521</v>
      </c>
      <c r="J133" s="6">
        <v>0.60523509979248047</v>
      </c>
      <c r="K133" s="8">
        <v>129</v>
      </c>
      <c r="L133" s="8">
        <v>77</v>
      </c>
    </row>
    <row r="134" spans="1:12" ht="102" customHeight="1">
      <c r="A134" s="3" t="s">
        <v>12</v>
      </c>
      <c r="B134" s="3" t="s">
        <v>526</v>
      </c>
      <c r="C134" s="5" t="s">
        <v>527</v>
      </c>
      <c r="D134" s="3" t="s">
        <v>4</v>
      </c>
      <c r="E134" s="3" t="s">
        <v>24</v>
      </c>
      <c r="F134" s="3" t="s">
        <v>528</v>
      </c>
      <c r="G134" s="3" t="s">
        <v>529</v>
      </c>
      <c r="H134" s="3" t="s">
        <v>530</v>
      </c>
      <c r="I134" s="3" t="s">
        <v>531</v>
      </c>
      <c r="J134" s="7">
        <v>0.84618335962295532</v>
      </c>
      <c r="K134" s="9">
        <v>130</v>
      </c>
      <c r="L134" s="9">
        <v>180</v>
      </c>
    </row>
    <row r="135" spans="1:12" ht="102" customHeight="1">
      <c r="A135" s="1" t="s">
        <v>12</v>
      </c>
      <c r="B135" s="1" t="s">
        <v>526</v>
      </c>
      <c r="C135" s="4" t="s">
        <v>532</v>
      </c>
      <c r="D135" s="1" t="s">
        <v>4</v>
      </c>
      <c r="E135" s="1" t="s">
        <v>24</v>
      </c>
      <c r="F135" s="1" t="s">
        <v>533</v>
      </c>
      <c r="G135" s="1" t="s">
        <v>534</v>
      </c>
      <c r="H135" s="1" t="s">
        <v>530</v>
      </c>
      <c r="I135" s="1" t="s">
        <v>531</v>
      </c>
      <c r="J135" s="6">
        <v>0.83577460050582886</v>
      </c>
      <c r="K135" s="8">
        <v>131</v>
      </c>
      <c r="L135" s="8">
        <v>181</v>
      </c>
    </row>
    <row r="136" spans="1:12" ht="102" customHeight="1">
      <c r="A136" s="3" t="s">
        <v>12</v>
      </c>
      <c r="B136" s="3" t="s">
        <v>526</v>
      </c>
      <c r="C136" s="5" t="s">
        <v>535</v>
      </c>
      <c r="D136" s="3" t="s">
        <v>4</v>
      </c>
      <c r="E136" s="3" t="s">
        <v>24</v>
      </c>
      <c r="F136" s="3" t="s">
        <v>536</v>
      </c>
      <c r="G136" s="3" t="s">
        <v>529</v>
      </c>
      <c r="H136" s="3" t="s">
        <v>530</v>
      </c>
      <c r="I136" s="3" t="s">
        <v>531</v>
      </c>
      <c r="J136" s="7">
        <v>0.83577460050582886</v>
      </c>
      <c r="K136" s="9">
        <v>132</v>
      </c>
      <c r="L136" s="9">
        <v>182</v>
      </c>
    </row>
    <row r="137" spans="1:12" ht="102" customHeight="1">
      <c r="A137" s="1" t="s">
        <v>12</v>
      </c>
      <c r="B137" s="1" t="s">
        <v>537</v>
      </c>
      <c r="C137" s="4" t="s">
        <v>538</v>
      </c>
      <c r="D137" s="1" t="s">
        <v>4</v>
      </c>
      <c r="E137" s="1" t="s">
        <v>24</v>
      </c>
      <c r="F137" s="1" t="s">
        <v>539</v>
      </c>
      <c r="G137" s="1" t="s">
        <v>540</v>
      </c>
      <c r="H137" s="1" t="s">
        <v>541</v>
      </c>
      <c r="I137" s="1" t="s">
        <v>542</v>
      </c>
      <c r="J137" s="6">
        <v>0.83053308725357056</v>
      </c>
      <c r="K137" s="8">
        <v>133</v>
      </c>
      <c r="L137" s="8">
        <v>183</v>
      </c>
    </row>
    <row r="138" spans="1:12" ht="102" customHeight="1">
      <c r="A138" s="3" t="s">
        <v>12</v>
      </c>
      <c r="B138" s="3" t="s">
        <v>537</v>
      </c>
      <c r="C138" s="5" t="s">
        <v>543</v>
      </c>
      <c r="D138" s="3" t="s">
        <v>4</v>
      </c>
      <c r="E138" s="3" t="s">
        <v>24</v>
      </c>
      <c r="F138" s="3" t="s">
        <v>544</v>
      </c>
      <c r="G138" s="3" t="s">
        <v>545</v>
      </c>
      <c r="H138" s="3" t="s">
        <v>541</v>
      </c>
      <c r="I138" s="3" t="s">
        <v>542</v>
      </c>
      <c r="J138" s="7">
        <v>0.83053308725357056</v>
      </c>
      <c r="K138" s="9">
        <v>134</v>
      </c>
      <c r="L138" s="9">
        <v>184</v>
      </c>
    </row>
    <row r="139" spans="1:12" ht="102" customHeight="1">
      <c r="A139" s="1" t="s">
        <v>12</v>
      </c>
      <c r="B139" s="1" t="s">
        <v>537</v>
      </c>
      <c r="C139" s="4" t="s">
        <v>546</v>
      </c>
      <c r="D139" s="1" t="s">
        <v>4</v>
      </c>
      <c r="E139" s="1" t="s">
        <v>24</v>
      </c>
      <c r="F139" s="1" t="s">
        <v>547</v>
      </c>
      <c r="G139" s="1" t="s">
        <v>540</v>
      </c>
      <c r="H139" s="1" t="s">
        <v>541</v>
      </c>
      <c r="I139" s="1" t="s">
        <v>542</v>
      </c>
      <c r="J139" s="6">
        <v>0.83053308725357056</v>
      </c>
      <c r="K139" s="8">
        <v>135</v>
      </c>
      <c r="L139" s="8">
        <v>185</v>
      </c>
    </row>
  </sheetData>
  <mergeCells count="2">
    <mergeCell ref="A1:L1"/>
    <mergeCell ref="A2:L2"/>
  </mergeCells>
  <conditionalFormatting sqref="D5:D139">
    <cfRule type="cellIs" dxfId="2" priority="1" operator="equal">
      <formula>"Yes"</formula>
    </cfRule>
    <cfRule type="cellIs" dxfId="1" priority="2" operator="equal">
      <formula>"No"</formula>
    </cfRule>
    <cfRule type="cellIs" dxfId="0" priority="3" operator="equal">
      <formula>"Unclear"</formula>
    </cfRule>
  </conditionalFormatting>
  <dataValidations count="2">
    <dataValidation type="list" sqref="D5:D139" xr:uid="{00000000-0002-0000-0100-000000000000}">
      <formula1>"Yes,No,Unclear"</formula1>
    </dataValidation>
    <dataValidation type="list" sqref="E5:E139" xr:uid="{00000000-0002-0000-0100-000001000000}">
      <formula1>"Clear fit,Broad fit,Template fit,Partial fit,Insufficient text,Topic unclear"</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76B6E"/>
  </sheetPr>
  <dimension ref="A1:K52"/>
  <sheetViews>
    <sheetView showGridLines="0" workbookViewId="0">
      <pane xSplit="2" ySplit="4" topLeftCell="C5" activePane="bottomRight" state="frozen"/>
      <selection pane="topRight"/>
      <selection pane="bottomLeft"/>
      <selection pane="bottomRight" activeCell="D5" sqref="D5"/>
    </sheetView>
  </sheetViews>
  <sheetFormatPr defaultRowHeight="14"/>
  <cols>
    <col min="1" max="1" width="10" customWidth="1"/>
    <col min="2" max="2" width="7.25" customWidth="1"/>
    <col min="3" max="3" width="33.33203125" customWidth="1"/>
    <col min="4" max="4" width="56.6640625" customWidth="1"/>
    <col min="5" max="5" width="55.58203125" customWidth="1"/>
    <col min="6" max="6" width="10" customWidth="1"/>
    <col min="7" max="8" width="7.75" customWidth="1"/>
    <col min="9" max="9" width="8.9140625" customWidth="1"/>
    <col min="10" max="10" width="12.25" customWidth="1"/>
    <col min="11" max="11" width="21.08203125" customWidth="1"/>
  </cols>
  <sheetData>
    <row r="1" spans="1:11" ht="32" customHeight="1">
      <c r="A1" s="15" t="s">
        <v>548</v>
      </c>
      <c r="B1" s="15" t="s">
        <v>548</v>
      </c>
      <c r="C1" s="15" t="s">
        <v>548</v>
      </c>
      <c r="D1" s="15" t="s">
        <v>548</v>
      </c>
      <c r="E1" s="15" t="s">
        <v>548</v>
      </c>
      <c r="F1" s="15" t="s">
        <v>548</v>
      </c>
      <c r="G1" s="15" t="s">
        <v>548</v>
      </c>
      <c r="H1" s="15" t="s">
        <v>548</v>
      </c>
      <c r="I1" s="15" t="s">
        <v>548</v>
      </c>
      <c r="J1" s="15" t="s">
        <v>548</v>
      </c>
      <c r="K1" s="15" t="s">
        <v>548</v>
      </c>
    </row>
    <row r="2" spans="1:11" ht="30" customHeight="1">
      <c r="A2" s="17" t="s">
        <v>549</v>
      </c>
      <c r="B2" s="17" t="s">
        <v>549</v>
      </c>
      <c r="C2" s="17" t="s">
        <v>549</v>
      </c>
      <c r="D2" s="17" t="s">
        <v>549</v>
      </c>
      <c r="E2" s="17" t="s">
        <v>549</v>
      </c>
      <c r="F2" s="17" t="s">
        <v>549</v>
      </c>
      <c r="G2" s="17" t="s">
        <v>549</v>
      </c>
      <c r="H2" s="17" t="s">
        <v>549</v>
      </c>
      <c r="I2" s="17" t="s">
        <v>549</v>
      </c>
      <c r="J2" s="17" t="s">
        <v>549</v>
      </c>
      <c r="K2" s="17" t="s">
        <v>549</v>
      </c>
    </row>
    <row r="3" spans="1:11">
      <c r="A3" s="1"/>
      <c r="B3" s="1"/>
      <c r="C3" s="1"/>
      <c r="D3" s="1"/>
      <c r="E3" s="1"/>
      <c r="F3" s="1"/>
      <c r="G3" s="1"/>
      <c r="H3" s="1"/>
      <c r="I3" s="1"/>
      <c r="J3" s="1"/>
      <c r="K3" s="1"/>
    </row>
    <row r="4" spans="1:11" ht="30" customHeight="1">
      <c r="A4" s="2" t="s">
        <v>2</v>
      </c>
      <c r="B4" s="2" t="s">
        <v>40</v>
      </c>
      <c r="C4" s="2" t="s">
        <v>550</v>
      </c>
      <c r="D4" s="2" t="s">
        <v>551</v>
      </c>
      <c r="E4" s="2" t="s">
        <v>552</v>
      </c>
      <c r="F4" s="2" t="s">
        <v>3</v>
      </c>
      <c r="G4" s="2" t="s">
        <v>4</v>
      </c>
      <c r="H4" s="2" t="s">
        <v>5</v>
      </c>
      <c r="I4" s="2" t="s">
        <v>6</v>
      </c>
      <c r="J4" s="2" t="s">
        <v>553</v>
      </c>
      <c r="K4" s="2" t="s">
        <v>45</v>
      </c>
    </row>
    <row r="5" spans="1:11" ht="95" customHeight="1">
      <c r="A5" s="1" t="s">
        <v>8</v>
      </c>
      <c r="B5" s="1" t="s">
        <v>49</v>
      </c>
      <c r="C5" s="1" t="s">
        <v>53</v>
      </c>
      <c r="D5" s="1" t="s">
        <v>554</v>
      </c>
      <c r="E5" s="1" t="s">
        <v>555</v>
      </c>
      <c r="F5" s="10">
        <f>COUNTIFS(Review!$A$5:$A$139,A5,Review!$B$5:$B$139,B5)</f>
        <v>3</v>
      </c>
      <c r="G5" s="10">
        <f>COUNTIFS(Review!$A$5:$A$139,A5,Review!$B$5:$B$139,B5,Review!$D$5:$D$139,"Yes")</f>
        <v>3</v>
      </c>
      <c r="H5" s="10">
        <f>COUNTIFS(Review!$A$5:$A$139,A5,Review!$B$5:$B$139,B5,Review!$D$5:$D$139,"No")</f>
        <v>0</v>
      </c>
      <c r="I5" s="10">
        <f>COUNTIFS(Review!$A$5:$A$139,A5,Review!$B$5:$B$139,B5,Review!$D$5:$D$139,"Unclear")</f>
        <v>0</v>
      </c>
      <c r="J5" s="10">
        <v>712</v>
      </c>
      <c r="K5" s="1" t="s">
        <v>54</v>
      </c>
    </row>
    <row r="6" spans="1:11" ht="155" customHeight="1">
      <c r="A6" s="3" t="s">
        <v>8</v>
      </c>
      <c r="B6" s="3" t="s">
        <v>556</v>
      </c>
      <c r="C6" s="3" t="s">
        <v>557</v>
      </c>
      <c r="D6" s="3" t="s">
        <v>558</v>
      </c>
      <c r="E6" s="3" t="s">
        <v>559</v>
      </c>
      <c r="F6" s="11">
        <f>COUNTIFS(Review!$A$5:$A$139,A6,Review!$B$5:$B$139,B6)</f>
        <v>0</v>
      </c>
      <c r="G6" s="11">
        <f>COUNTIFS(Review!$A$5:$A$139,A6,Review!$B$5:$B$139,B6,Review!$D$5:$D$139,"Yes")</f>
        <v>0</v>
      </c>
      <c r="H6" s="11">
        <f>COUNTIFS(Review!$A$5:$A$139,A6,Review!$B$5:$B$139,B6,Review!$D$5:$D$139,"No")</f>
        <v>0</v>
      </c>
      <c r="I6" s="11">
        <f>COUNTIFS(Review!$A$5:$A$139,A6,Review!$B$5:$B$139,B6,Review!$D$5:$D$139,"Unclear")</f>
        <v>0</v>
      </c>
      <c r="J6" s="11">
        <v>0</v>
      </c>
      <c r="K6" s="3" t="s">
        <v>560</v>
      </c>
    </row>
    <row r="7" spans="1:11" ht="95" customHeight="1">
      <c r="A7" s="1" t="s">
        <v>8</v>
      </c>
      <c r="B7" s="1" t="s">
        <v>61</v>
      </c>
      <c r="C7" s="1" t="s">
        <v>65</v>
      </c>
      <c r="D7" s="1" t="s">
        <v>561</v>
      </c>
      <c r="E7" s="1" t="s">
        <v>562</v>
      </c>
      <c r="F7" s="10">
        <f>COUNTIFS(Review!$A$5:$A$139,A7,Review!$B$5:$B$139,B7)</f>
        <v>3</v>
      </c>
      <c r="G7" s="10">
        <f>COUNTIFS(Review!$A$5:$A$139,A7,Review!$B$5:$B$139,B7,Review!$D$5:$D$139,"Yes")</f>
        <v>3</v>
      </c>
      <c r="H7" s="10">
        <f>COUNTIFS(Review!$A$5:$A$139,A7,Review!$B$5:$B$139,B7,Review!$D$5:$D$139,"No")</f>
        <v>0</v>
      </c>
      <c r="I7" s="10">
        <f>COUNTIFS(Review!$A$5:$A$139,A7,Review!$B$5:$B$139,B7,Review!$D$5:$D$139,"Unclear")</f>
        <v>0</v>
      </c>
      <c r="J7" s="10">
        <v>42</v>
      </c>
      <c r="K7" s="1" t="s">
        <v>66</v>
      </c>
    </row>
    <row r="8" spans="1:11" ht="95" customHeight="1">
      <c r="A8" s="3" t="s">
        <v>8</v>
      </c>
      <c r="B8" s="3" t="s">
        <v>563</v>
      </c>
      <c r="C8" s="3" t="s">
        <v>564</v>
      </c>
      <c r="D8" s="3" t="s">
        <v>565</v>
      </c>
      <c r="E8" s="3" t="s">
        <v>566</v>
      </c>
      <c r="F8" s="11">
        <f>COUNTIFS(Review!$A$5:$A$139,A8,Review!$B$5:$B$139,B8)</f>
        <v>0</v>
      </c>
      <c r="G8" s="11">
        <f>COUNTIFS(Review!$A$5:$A$139,A8,Review!$B$5:$B$139,B8,Review!$D$5:$D$139,"Yes")</f>
        <v>0</v>
      </c>
      <c r="H8" s="11">
        <f>COUNTIFS(Review!$A$5:$A$139,A8,Review!$B$5:$B$139,B8,Review!$D$5:$D$139,"No")</f>
        <v>0</v>
      </c>
      <c r="I8" s="11">
        <f>COUNTIFS(Review!$A$5:$A$139,A8,Review!$B$5:$B$139,B8,Review!$D$5:$D$139,"Unclear")</f>
        <v>0</v>
      </c>
      <c r="J8" s="11">
        <v>0</v>
      </c>
      <c r="K8" s="3" t="s">
        <v>567</v>
      </c>
    </row>
    <row r="9" spans="1:11" ht="95" customHeight="1">
      <c r="A9" s="1" t="s">
        <v>8</v>
      </c>
      <c r="B9" s="1" t="s">
        <v>73</v>
      </c>
      <c r="C9" s="1" t="s">
        <v>77</v>
      </c>
      <c r="D9" s="1" t="s">
        <v>568</v>
      </c>
      <c r="E9" s="1" t="s">
        <v>569</v>
      </c>
      <c r="F9" s="10">
        <f>COUNTIFS(Review!$A$5:$A$139,A9,Review!$B$5:$B$139,B9)</f>
        <v>3</v>
      </c>
      <c r="G9" s="10">
        <f>COUNTIFS(Review!$A$5:$A$139,A9,Review!$B$5:$B$139,B9,Review!$D$5:$D$139,"Yes")</f>
        <v>3</v>
      </c>
      <c r="H9" s="10">
        <f>COUNTIFS(Review!$A$5:$A$139,A9,Review!$B$5:$B$139,B9,Review!$D$5:$D$139,"No")</f>
        <v>0</v>
      </c>
      <c r="I9" s="10">
        <f>COUNTIFS(Review!$A$5:$A$139,A9,Review!$B$5:$B$139,B9,Review!$D$5:$D$139,"Unclear")</f>
        <v>0</v>
      </c>
      <c r="J9" s="10">
        <v>7</v>
      </c>
      <c r="K9" s="1" t="s">
        <v>78</v>
      </c>
    </row>
    <row r="10" spans="1:11" ht="95" customHeight="1">
      <c r="A10" s="3" t="s">
        <v>8</v>
      </c>
      <c r="B10" s="3" t="s">
        <v>85</v>
      </c>
      <c r="C10" s="3" t="s">
        <v>89</v>
      </c>
      <c r="D10" s="3" t="s">
        <v>570</v>
      </c>
      <c r="E10" s="3" t="s">
        <v>571</v>
      </c>
      <c r="F10" s="11">
        <f>COUNTIFS(Review!$A$5:$A$139,A10,Review!$B$5:$B$139,B10)</f>
        <v>3</v>
      </c>
      <c r="G10" s="11">
        <f>COUNTIFS(Review!$A$5:$A$139,A10,Review!$B$5:$B$139,B10,Review!$D$5:$D$139,"Yes")</f>
        <v>3</v>
      </c>
      <c r="H10" s="11">
        <f>COUNTIFS(Review!$A$5:$A$139,A10,Review!$B$5:$B$139,B10,Review!$D$5:$D$139,"No")</f>
        <v>0</v>
      </c>
      <c r="I10" s="11">
        <f>COUNTIFS(Review!$A$5:$A$139,A10,Review!$B$5:$B$139,B10,Review!$D$5:$D$139,"Unclear")</f>
        <v>0</v>
      </c>
      <c r="J10" s="11">
        <v>131</v>
      </c>
      <c r="K10" s="3" t="s">
        <v>90</v>
      </c>
    </row>
    <row r="11" spans="1:11" ht="95" customHeight="1">
      <c r="A11" s="1" t="s">
        <v>8</v>
      </c>
      <c r="B11" s="1" t="s">
        <v>97</v>
      </c>
      <c r="C11" s="1" t="s">
        <v>101</v>
      </c>
      <c r="D11" s="1" t="s">
        <v>572</v>
      </c>
      <c r="E11" s="1" t="s">
        <v>573</v>
      </c>
      <c r="F11" s="10">
        <f>COUNTIFS(Review!$A$5:$A$139,A11,Review!$B$5:$B$139,B11)</f>
        <v>3</v>
      </c>
      <c r="G11" s="10">
        <f>COUNTIFS(Review!$A$5:$A$139,A11,Review!$B$5:$B$139,B11,Review!$D$5:$D$139,"Yes")</f>
        <v>3</v>
      </c>
      <c r="H11" s="10">
        <f>COUNTIFS(Review!$A$5:$A$139,A11,Review!$B$5:$B$139,B11,Review!$D$5:$D$139,"No")</f>
        <v>0</v>
      </c>
      <c r="I11" s="10">
        <f>COUNTIFS(Review!$A$5:$A$139,A11,Review!$B$5:$B$139,B11,Review!$D$5:$D$139,"Unclear")</f>
        <v>0</v>
      </c>
      <c r="J11" s="10">
        <v>55</v>
      </c>
      <c r="K11" s="1" t="s">
        <v>102</v>
      </c>
    </row>
    <row r="12" spans="1:11" ht="95" customHeight="1">
      <c r="A12" s="3" t="s">
        <v>8</v>
      </c>
      <c r="B12" s="3" t="s">
        <v>109</v>
      </c>
      <c r="C12" s="3" t="s">
        <v>113</v>
      </c>
      <c r="D12" s="3" t="s">
        <v>574</v>
      </c>
      <c r="E12" s="3" t="s">
        <v>575</v>
      </c>
      <c r="F12" s="11">
        <f>COUNTIFS(Review!$A$5:$A$139,A12,Review!$B$5:$B$139,B12)</f>
        <v>3</v>
      </c>
      <c r="G12" s="11">
        <f>COUNTIFS(Review!$A$5:$A$139,A12,Review!$B$5:$B$139,B12,Review!$D$5:$D$139,"Yes")</f>
        <v>3</v>
      </c>
      <c r="H12" s="11">
        <f>COUNTIFS(Review!$A$5:$A$139,A12,Review!$B$5:$B$139,B12,Review!$D$5:$D$139,"No")</f>
        <v>0</v>
      </c>
      <c r="I12" s="11">
        <f>COUNTIFS(Review!$A$5:$A$139,A12,Review!$B$5:$B$139,B12,Review!$D$5:$D$139,"Unclear")</f>
        <v>0</v>
      </c>
      <c r="J12" s="11">
        <v>7</v>
      </c>
      <c r="K12" s="3" t="s">
        <v>114</v>
      </c>
    </row>
    <row r="13" spans="1:11" ht="95" customHeight="1">
      <c r="A13" s="1" t="s">
        <v>8</v>
      </c>
      <c r="B13" s="1" t="s">
        <v>121</v>
      </c>
      <c r="C13" s="1" t="s">
        <v>125</v>
      </c>
      <c r="D13" s="1" t="s">
        <v>576</v>
      </c>
      <c r="E13" s="1" t="s">
        <v>577</v>
      </c>
      <c r="F13" s="10">
        <f>COUNTIFS(Review!$A$5:$A$139,A13,Review!$B$5:$B$139,B13)</f>
        <v>3</v>
      </c>
      <c r="G13" s="10">
        <f>COUNTIFS(Review!$A$5:$A$139,A13,Review!$B$5:$B$139,B13,Review!$D$5:$D$139,"Yes")</f>
        <v>3</v>
      </c>
      <c r="H13" s="10">
        <f>COUNTIFS(Review!$A$5:$A$139,A13,Review!$B$5:$B$139,B13,Review!$D$5:$D$139,"No")</f>
        <v>0</v>
      </c>
      <c r="I13" s="10">
        <f>COUNTIFS(Review!$A$5:$A$139,A13,Review!$B$5:$B$139,B13,Review!$D$5:$D$139,"Unclear")</f>
        <v>0</v>
      </c>
      <c r="J13" s="10">
        <v>4</v>
      </c>
      <c r="K13" s="1" t="s">
        <v>126</v>
      </c>
    </row>
    <row r="14" spans="1:11" ht="95" customHeight="1">
      <c r="A14" s="3" t="s">
        <v>8</v>
      </c>
      <c r="B14" s="3" t="s">
        <v>133</v>
      </c>
      <c r="C14" s="3" t="s">
        <v>137</v>
      </c>
      <c r="D14" s="3" t="s">
        <v>578</v>
      </c>
      <c r="E14" s="3" t="s">
        <v>579</v>
      </c>
      <c r="F14" s="11">
        <f>COUNTIFS(Review!$A$5:$A$139,A14,Review!$B$5:$B$139,B14)</f>
        <v>3</v>
      </c>
      <c r="G14" s="11">
        <f>COUNTIFS(Review!$A$5:$A$139,A14,Review!$B$5:$B$139,B14,Review!$D$5:$D$139,"Yes")</f>
        <v>3</v>
      </c>
      <c r="H14" s="11">
        <f>COUNTIFS(Review!$A$5:$A$139,A14,Review!$B$5:$B$139,B14,Review!$D$5:$D$139,"No")</f>
        <v>0</v>
      </c>
      <c r="I14" s="11">
        <f>COUNTIFS(Review!$A$5:$A$139,A14,Review!$B$5:$B$139,B14,Review!$D$5:$D$139,"Unclear")</f>
        <v>0</v>
      </c>
      <c r="J14" s="11">
        <v>13</v>
      </c>
      <c r="K14" s="3" t="s">
        <v>138</v>
      </c>
    </row>
    <row r="15" spans="1:11" ht="95" customHeight="1">
      <c r="A15" s="1" t="s">
        <v>8</v>
      </c>
      <c r="B15" s="1" t="s">
        <v>580</v>
      </c>
      <c r="C15" s="1" t="s">
        <v>581</v>
      </c>
      <c r="D15" s="1" t="s">
        <v>582</v>
      </c>
      <c r="E15" s="1" t="s">
        <v>583</v>
      </c>
      <c r="F15" s="10">
        <f>COUNTIFS(Review!$A$5:$A$139,A15,Review!$B$5:$B$139,B15)</f>
        <v>0</v>
      </c>
      <c r="G15" s="10">
        <f>COUNTIFS(Review!$A$5:$A$139,A15,Review!$B$5:$B$139,B15,Review!$D$5:$D$139,"Yes")</f>
        <v>0</v>
      </c>
      <c r="H15" s="10">
        <f>COUNTIFS(Review!$A$5:$A$139,A15,Review!$B$5:$B$139,B15,Review!$D$5:$D$139,"No")</f>
        <v>0</v>
      </c>
      <c r="I15" s="10">
        <f>COUNTIFS(Review!$A$5:$A$139,A15,Review!$B$5:$B$139,B15,Review!$D$5:$D$139,"Unclear")</f>
        <v>0</v>
      </c>
      <c r="J15" s="10">
        <v>0</v>
      </c>
      <c r="K15" s="1" t="s">
        <v>584</v>
      </c>
    </row>
    <row r="16" spans="1:11" ht="95" customHeight="1">
      <c r="A16" s="3" t="s">
        <v>8</v>
      </c>
      <c r="B16" s="3" t="s">
        <v>145</v>
      </c>
      <c r="C16" s="3" t="s">
        <v>149</v>
      </c>
      <c r="D16" s="3" t="s">
        <v>585</v>
      </c>
      <c r="E16" s="3" t="s">
        <v>586</v>
      </c>
      <c r="F16" s="11">
        <f>COUNTIFS(Review!$A$5:$A$139,A16,Review!$B$5:$B$139,B16)</f>
        <v>3</v>
      </c>
      <c r="G16" s="11">
        <f>COUNTIFS(Review!$A$5:$A$139,A16,Review!$B$5:$B$139,B16,Review!$D$5:$D$139,"Yes")</f>
        <v>3</v>
      </c>
      <c r="H16" s="11">
        <f>COUNTIFS(Review!$A$5:$A$139,A16,Review!$B$5:$B$139,B16,Review!$D$5:$D$139,"No")</f>
        <v>0</v>
      </c>
      <c r="I16" s="11">
        <f>COUNTIFS(Review!$A$5:$A$139,A16,Review!$B$5:$B$139,B16,Review!$D$5:$D$139,"Unclear")</f>
        <v>0</v>
      </c>
      <c r="J16" s="11">
        <v>29</v>
      </c>
      <c r="K16" s="3" t="s">
        <v>150</v>
      </c>
    </row>
    <row r="17" spans="1:11" ht="95" customHeight="1">
      <c r="A17" s="1" t="s">
        <v>9</v>
      </c>
      <c r="B17" s="1" t="s">
        <v>157</v>
      </c>
      <c r="C17" s="1" t="s">
        <v>161</v>
      </c>
      <c r="D17" s="1" t="s">
        <v>587</v>
      </c>
      <c r="E17" s="1" t="s">
        <v>588</v>
      </c>
      <c r="F17" s="10">
        <f>COUNTIFS(Review!$A$5:$A$139,A17,Review!$B$5:$B$139,B17)</f>
        <v>3</v>
      </c>
      <c r="G17" s="10">
        <f>COUNTIFS(Review!$A$5:$A$139,A17,Review!$B$5:$B$139,B17,Review!$D$5:$D$139,"Yes")</f>
        <v>2</v>
      </c>
      <c r="H17" s="10">
        <f>COUNTIFS(Review!$A$5:$A$139,A17,Review!$B$5:$B$139,B17,Review!$D$5:$D$139,"No")</f>
        <v>0</v>
      </c>
      <c r="I17" s="10">
        <f>COUNTIFS(Review!$A$5:$A$139,A17,Review!$B$5:$B$139,B17,Review!$D$5:$D$139,"Unclear")</f>
        <v>1</v>
      </c>
      <c r="J17" s="10">
        <v>103</v>
      </c>
      <c r="K17" s="1" t="s">
        <v>162</v>
      </c>
    </row>
    <row r="18" spans="1:11" ht="95" customHeight="1">
      <c r="A18" s="3" t="s">
        <v>9</v>
      </c>
      <c r="B18" s="3" t="s">
        <v>205</v>
      </c>
      <c r="C18" s="3" t="s">
        <v>209</v>
      </c>
      <c r="D18" s="3" t="s">
        <v>589</v>
      </c>
      <c r="E18" s="3" t="s">
        <v>590</v>
      </c>
      <c r="F18" s="11">
        <f>COUNTIFS(Review!$A$5:$A$139,A18,Review!$B$5:$B$139,B18)</f>
        <v>3</v>
      </c>
      <c r="G18" s="11">
        <f>COUNTIFS(Review!$A$5:$A$139,A18,Review!$B$5:$B$139,B18,Review!$D$5:$D$139,"Yes")</f>
        <v>3</v>
      </c>
      <c r="H18" s="11">
        <f>COUNTIFS(Review!$A$5:$A$139,A18,Review!$B$5:$B$139,B18,Review!$D$5:$D$139,"No")</f>
        <v>0</v>
      </c>
      <c r="I18" s="11">
        <f>COUNTIFS(Review!$A$5:$A$139,A18,Review!$B$5:$B$139,B18,Review!$D$5:$D$139,"Unclear")</f>
        <v>0</v>
      </c>
      <c r="J18" s="11">
        <v>91</v>
      </c>
      <c r="K18" s="3" t="s">
        <v>210</v>
      </c>
    </row>
    <row r="19" spans="1:11" ht="95" customHeight="1">
      <c r="A19" s="1" t="s">
        <v>9</v>
      </c>
      <c r="B19" s="1" t="s">
        <v>217</v>
      </c>
      <c r="C19" s="1" t="s">
        <v>221</v>
      </c>
      <c r="D19" s="1" t="s">
        <v>591</v>
      </c>
      <c r="E19" s="1" t="s">
        <v>592</v>
      </c>
      <c r="F19" s="10">
        <f>COUNTIFS(Review!$A$5:$A$139,A19,Review!$B$5:$B$139,B19)</f>
        <v>3</v>
      </c>
      <c r="G19" s="10">
        <f>COUNTIFS(Review!$A$5:$A$139,A19,Review!$B$5:$B$139,B19,Review!$D$5:$D$139,"Yes")</f>
        <v>2</v>
      </c>
      <c r="H19" s="10">
        <f>COUNTIFS(Review!$A$5:$A$139,A19,Review!$B$5:$B$139,B19,Review!$D$5:$D$139,"No")</f>
        <v>1</v>
      </c>
      <c r="I19" s="10">
        <f>COUNTIFS(Review!$A$5:$A$139,A19,Review!$B$5:$B$139,B19,Review!$D$5:$D$139,"Unclear")</f>
        <v>0</v>
      </c>
      <c r="J19" s="10">
        <v>95</v>
      </c>
      <c r="K19" s="1" t="s">
        <v>222</v>
      </c>
    </row>
    <row r="20" spans="1:11" ht="95" customHeight="1">
      <c r="A20" s="3" t="s">
        <v>9</v>
      </c>
      <c r="B20" s="3" t="s">
        <v>227</v>
      </c>
      <c r="C20" s="3" t="s">
        <v>149</v>
      </c>
      <c r="D20" s="3" t="s">
        <v>593</v>
      </c>
      <c r="E20" s="3" t="s">
        <v>594</v>
      </c>
      <c r="F20" s="11">
        <f>COUNTIFS(Review!$A$5:$A$139,A20,Review!$B$5:$B$139,B20)</f>
        <v>3</v>
      </c>
      <c r="G20" s="11">
        <f>COUNTIFS(Review!$A$5:$A$139,A20,Review!$B$5:$B$139,B20,Review!$D$5:$D$139,"Yes")</f>
        <v>3</v>
      </c>
      <c r="H20" s="11">
        <f>COUNTIFS(Review!$A$5:$A$139,A20,Review!$B$5:$B$139,B20,Review!$D$5:$D$139,"No")</f>
        <v>0</v>
      </c>
      <c r="I20" s="11">
        <f>COUNTIFS(Review!$A$5:$A$139,A20,Review!$B$5:$B$139,B20,Review!$D$5:$D$139,"Unclear")</f>
        <v>0</v>
      </c>
      <c r="J20" s="11">
        <v>114</v>
      </c>
      <c r="K20" s="3" t="s">
        <v>231</v>
      </c>
    </row>
    <row r="21" spans="1:11" ht="95" customHeight="1">
      <c r="A21" s="1" t="s">
        <v>9</v>
      </c>
      <c r="B21" s="1" t="s">
        <v>238</v>
      </c>
      <c r="C21" s="1" t="s">
        <v>242</v>
      </c>
      <c r="D21" s="1" t="s">
        <v>595</v>
      </c>
      <c r="E21" s="1" t="s">
        <v>596</v>
      </c>
      <c r="F21" s="10">
        <f>COUNTIFS(Review!$A$5:$A$139,A21,Review!$B$5:$B$139,B21)</f>
        <v>3</v>
      </c>
      <c r="G21" s="10">
        <f>COUNTIFS(Review!$A$5:$A$139,A21,Review!$B$5:$B$139,B21,Review!$D$5:$D$139,"Yes")</f>
        <v>3</v>
      </c>
      <c r="H21" s="10">
        <f>COUNTIFS(Review!$A$5:$A$139,A21,Review!$B$5:$B$139,B21,Review!$D$5:$D$139,"No")</f>
        <v>0</v>
      </c>
      <c r="I21" s="10">
        <f>COUNTIFS(Review!$A$5:$A$139,A21,Review!$B$5:$B$139,B21,Review!$D$5:$D$139,"Unclear")</f>
        <v>0</v>
      </c>
      <c r="J21" s="10">
        <v>109</v>
      </c>
      <c r="K21" s="1" t="s">
        <v>243</v>
      </c>
    </row>
    <row r="22" spans="1:11" ht="95" customHeight="1">
      <c r="A22" s="3" t="s">
        <v>9</v>
      </c>
      <c r="B22" s="3" t="s">
        <v>250</v>
      </c>
      <c r="C22" s="3" t="s">
        <v>254</v>
      </c>
      <c r="D22" s="3" t="s">
        <v>597</v>
      </c>
      <c r="E22" s="3" t="s">
        <v>598</v>
      </c>
      <c r="F22" s="11">
        <f>COUNTIFS(Review!$A$5:$A$139,A22,Review!$B$5:$B$139,B22)</f>
        <v>3</v>
      </c>
      <c r="G22" s="11">
        <f>COUNTIFS(Review!$A$5:$A$139,A22,Review!$B$5:$B$139,B22,Review!$D$5:$D$139,"Yes")</f>
        <v>2</v>
      </c>
      <c r="H22" s="11">
        <f>COUNTIFS(Review!$A$5:$A$139,A22,Review!$B$5:$B$139,B22,Review!$D$5:$D$139,"No")</f>
        <v>0</v>
      </c>
      <c r="I22" s="11">
        <f>COUNTIFS(Review!$A$5:$A$139,A22,Review!$B$5:$B$139,B22,Review!$D$5:$D$139,"Unclear")</f>
        <v>1</v>
      </c>
      <c r="J22" s="11">
        <v>21</v>
      </c>
      <c r="K22" s="3" t="s">
        <v>255</v>
      </c>
    </row>
    <row r="23" spans="1:11" ht="95" customHeight="1">
      <c r="A23" s="1" t="s">
        <v>9</v>
      </c>
      <c r="B23" s="1" t="s">
        <v>262</v>
      </c>
      <c r="C23" s="1" t="s">
        <v>266</v>
      </c>
      <c r="D23" s="1" t="s">
        <v>599</v>
      </c>
      <c r="E23" s="1" t="s">
        <v>600</v>
      </c>
      <c r="F23" s="10">
        <f>COUNTIFS(Review!$A$5:$A$139,A23,Review!$B$5:$B$139,B23)</f>
        <v>3</v>
      </c>
      <c r="G23" s="10">
        <f>COUNTIFS(Review!$A$5:$A$139,A23,Review!$B$5:$B$139,B23,Review!$D$5:$D$139,"Yes")</f>
        <v>3</v>
      </c>
      <c r="H23" s="10">
        <f>COUNTIFS(Review!$A$5:$A$139,A23,Review!$B$5:$B$139,B23,Review!$D$5:$D$139,"No")</f>
        <v>0</v>
      </c>
      <c r="I23" s="10">
        <f>COUNTIFS(Review!$A$5:$A$139,A23,Review!$B$5:$B$139,B23,Review!$D$5:$D$139,"Unclear")</f>
        <v>0</v>
      </c>
      <c r="J23" s="10">
        <v>11</v>
      </c>
      <c r="K23" s="1" t="s">
        <v>267</v>
      </c>
    </row>
    <row r="24" spans="1:11" ht="95" customHeight="1">
      <c r="A24" s="3" t="s">
        <v>9</v>
      </c>
      <c r="B24" s="3" t="s">
        <v>274</v>
      </c>
      <c r="C24" s="3" t="s">
        <v>278</v>
      </c>
      <c r="D24" s="3" t="s">
        <v>601</v>
      </c>
      <c r="E24" s="3" t="s">
        <v>602</v>
      </c>
      <c r="F24" s="11">
        <f>COUNTIFS(Review!$A$5:$A$139,A24,Review!$B$5:$B$139,B24)</f>
        <v>3</v>
      </c>
      <c r="G24" s="11">
        <f>COUNTIFS(Review!$A$5:$A$139,A24,Review!$B$5:$B$139,B24,Review!$D$5:$D$139,"Yes")</f>
        <v>3</v>
      </c>
      <c r="H24" s="11">
        <f>COUNTIFS(Review!$A$5:$A$139,A24,Review!$B$5:$B$139,B24,Review!$D$5:$D$139,"No")</f>
        <v>0</v>
      </c>
      <c r="I24" s="11">
        <f>COUNTIFS(Review!$A$5:$A$139,A24,Review!$B$5:$B$139,B24,Review!$D$5:$D$139,"Unclear")</f>
        <v>0</v>
      </c>
      <c r="J24" s="11">
        <v>104</v>
      </c>
      <c r="K24" s="3" t="s">
        <v>279</v>
      </c>
    </row>
    <row r="25" spans="1:11" ht="95" customHeight="1">
      <c r="A25" s="1" t="s">
        <v>9</v>
      </c>
      <c r="B25" s="1" t="s">
        <v>286</v>
      </c>
      <c r="C25" s="1" t="s">
        <v>290</v>
      </c>
      <c r="D25" s="1" t="s">
        <v>603</v>
      </c>
      <c r="E25" s="1" t="s">
        <v>604</v>
      </c>
      <c r="F25" s="10">
        <f>COUNTIFS(Review!$A$5:$A$139,A25,Review!$B$5:$B$139,B25)</f>
        <v>3</v>
      </c>
      <c r="G25" s="10">
        <f>COUNTIFS(Review!$A$5:$A$139,A25,Review!$B$5:$B$139,B25,Review!$D$5:$D$139,"Yes")</f>
        <v>3</v>
      </c>
      <c r="H25" s="10">
        <f>COUNTIFS(Review!$A$5:$A$139,A25,Review!$B$5:$B$139,B25,Review!$D$5:$D$139,"No")</f>
        <v>0</v>
      </c>
      <c r="I25" s="10">
        <f>COUNTIFS(Review!$A$5:$A$139,A25,Review!$B$5:$B$139,B25,Review!$D$5:$D$139,"Unclear")</f>
        <v>0</v>
      </c>
      <c r="J25" s="10">
        <v>171</v>
      </c>
      <c r="K25" s="1" t="s">
        <v>291</v>
      </c>
    </row>
    <row r="26" spans="1:11" ht="95" customHeight="1">
      <c r="A26" s="3" t="s">
        <v>9</v>
      </c>
      <c r="B26" s="3" t="s">
        <v>169</v>
      </c>
      <c r="C26" s="3" t="s">
        <v>173</v>
      </c>
      <c r="D26" s="3" t="s">
        <v>605</v>
      </c>
      <c r="E26" s="3" t="s">
        <v>606</v>
      </c>
      <c r="F26" s="11">
        <f>COUNTIFS(Review!$A$5:$A$139,A26,Review!$B$5:$B$139,B26)</f>
        <v>3</v>
      </c>
      <c r="G26" s="11">
        <f>COUNTIFS(Review!$A$5:$A$139,A26,Review!$B$5:$B$139,B26,Review!$D$5:$D$139,"Yes")</f>
        <v>3</v>
      </c>
      <c r="H26" s="11">
        <f>COUNTIFS(Review!$A$5:$A$139,A26,Review!$B$5:$B$139,B26,Review!$D$5:$D$139,"No")</f>
        <v>0</v>
      </c>
      <c r="I26" s="11">
        <f>COUNTIFS(Review!$A$5:$A$139,A26,Review!$B$5:$B$139,B26,Review!$D$5:$D$139,"Unclear")</f>
        <v>0</v>
      </c>
      <c r="J26" s="11">
        <v>87</v>
      </c>
      <c r="K26" s="3" t="s">
        <v>174</v>
      </c>
    </row>
    <row r="27" spans="1:11" ht="95" customHeight="1">
      <c r="A27" s="1" t="s">
        <v>9</v>
      </c>
      <c r="B27" s="1" t="s">
        <v>181</v>
      </c>
      <c r="C27" s="1" t="s">
        <v>185</v>
      </c>
      <c r="D27" s="1" t="s">
        <v>607</v>
      </c>
      <c r="E27" s="1" t="s">
        <v>608</v>
      </c>
      <c r="F27" s="10">
        <f>COUNTIFS(Review!$A$5:$A$139,A27,Review!$B$5:$B$139,B27)</f>
        <v>3</v>
      </c>
      <c r="G27" s="10">
        <f>COUNTIFS(Review!$A$5:$A$139,A27,Review!$B$5:$B$139,B27,Review!$D$5:$D$139,"Yes")</f>
        <v>3</v>
      </c>
      <c r="H27" s="10">
        <f>COUNTIFS(Review!$A$5:$A$139,A27,Review!$B$5:$B$139,B27,Review!$D$5:$D$139,"No")</f>
        <v>0</v>
      </c>
      <c r="I27" s="10">
        <f>COUNTIFS(Review!$A$5:$A$139,A27,Review!$B$5:$B$139,B27,Review!$D$5:$D$139,"Unclear")</f>
        <v>0</v>
      </c>
      <c r="J27" s="10">
        <v>76</v>
      </c>
      <c r="K27" s="1" t="s">
        <v>186</v>
      </c>
    </row>
    <row r="28" spans="1:11" ht="95" customHeight="1">
      <c r="A28" s="3" t="s">
        <v>9</v>
      </c>
      <c r="B28" s="3" t="s">
        <v>193</v>
      </c>
      <c r="C28" s="3" t="s">
        <v>197</v>
      </c>
      <c r="D28" s="3" t="s">
        <v>609</v>
      </c>
      <c r="E28" s="3" t="s">
        <v>610</v>
      </c>
      <c r="F28" s="11">
        <f>COUNTIFS(Review!$A$5:$A$139,A28,Review!$B$5:$B$139,B28)</f>
        <v>3</v>
      </c>
      <c r="G28" s="11">
        <f>COUNTIFS(Review!$A$5:$A$139,A28,Review!$B$5:$B$139,B28,Review!$D$5:$D$139,"Yes")</f>
        <v>0</v>
      </c>
      <c r="H28" s="11">
        <f>COUNTIFS(Review!$A$5:$A$139,A28,Review!$B$5:$B$139,B28,Review!$D$5:$D$139,"No")</f>
        <v>0</v>
      </c>
      <c r="I28" s="11">
        <f>COUNTIFS(Review!$A$5:$A$139,A28,Review!$B$5:$B$139,B28,Review!$D$5:$D$139,"Unclear")</f>
        <v>3</v>
      </c>
      <c r="J28" s="11">
        <v>18</v>
      </c>
      <c r="K28" s="3" t="s">
        <v>198</v>
      </c>
    </row>
    <row r="29" spans="1:11" ht="95" customHeight="1">
      <c r="A29" s="1" t="s">
        <v>11</v>
      </c>
      <c r="B29" s="1" t="s">
        <v>298</v>
      </c>
      <c r="C29" s="1" t="s">
        <v>302</v>
      </c>
      <c r="D29" s="1" t="s">
        <v>611</v>
      </c>
      <c r="E29" s="1" t="s">
        <v>612</v>
      </c>
      <c r="F29" s="10">
        <f>COUNTIFS(Review!$A$5:$A$139,A29,Review!$B$5:$B$139,B29)</f>
        <v>3</v>
      </c>
      <c r="G29" s="10">
        <f>COUNTIFS(Review!$A$5:$A$139,A29,Review!$B$5:$B$139,B29,Review!$D$5:$D$139,"Yes")</f>
        <v>1</v>
      </c>
      <c r="H29" s="10">
        <f>COUNTIFS(Review!$A$5:$A$139,A29,Review!$B$5:$B$139,B29,Review!$D$5:$D$139,"No")</f>
        <v>2</v>
      </c>
      <c r="I29" s="10">
        <f>COUNTIFS(Review!$A$5:$A$139,A29,Review!$B$5:$B$139,B29,Review!$D$5:$D$139,"Unclear")</f>
        <v>0</v>
      </c>
      <c r="J29" s="10">
        <v>81</v>
      </c>
      <c r="K29" s="1" t="s">
        <v>303</v>
      </c>
    </row>
    <row r="30" spans="1:11" ht="95" customHeight="1">
      <c r="A30" s="3" t="s">
        <v>11</v>
      </c>
      <c r="B30" s="3" t="s">
        <v>310</v>
      </c>
      <c r="C30" s="3" t="s">
        <v>314</v>
      </c>
      <c r="D30" s="3" t="s">
        <v>613</v>
      </c>
      <c r="E30" s="3" t="s">
        <v>614</v>
      </c>
      <c r="F30" s="11">
        <f>COUNTIFS(Review!$A$5:$A$139,A30,Review!$B$5:$B$139,B30)</f>
        <v>3</v>
      </c>
      <c r="G30" s="11">
        <f>COUNTIFS(Review!$A$5:$A$139,A30,Review!$B$5:$B$139,B30,Review!$D$5:$D$139,"Yes")</f>
        <v>0</v>
      </c>
      <c r="H30" s="11">
        <f>COUNTIFS(Review!$A$5:$A$139,A30,Review!$B$5:$B$139,B30,Review!$D$5:$D$139,"No")</f>
        <v>0</v>
      </c>
      <c r="I30" s="11">
        <f>COUNTIFS(Review!$A$5:$A$139,A30,Review!$B$5:$B$139,B30,Review!$D$5:$D$139,"Unclear")</f>
        <v>3</v>
      </c>
      <c r="J30" s="11">
        <v>75</v>
      </c>
      <c r="K30" s="3" t="s">
        <v>315</v>
      </c>
    </row>
    <row r="31" spans="1:11" ht="95" customHeight="1">
      <c r="A31" s="1" t="s">
        <v>11</v>
      </c>
      <c r="B31" s="1" t="s">
        <v>346</v>
      </c>
      <c r="C31" s="1" t="s">
        <v>350</v>
      </c>
      <c r="D31" s="1" t="s">
        <v>615</v>
      </c>
      <c r="E31" s="1" t="s">
        <v>616</v>
      </c>
      <c r="F31" s="10">
        <f>COUNTIFS(Review!$A$5:$A$139,A31,Review!$B$5:$B$139,B31)</f>
        <v>3</v>
      </c>
      <c r="G31" s="10">
        <f>COUNTIFS(Review!$A$5:$A$139,A31,Review!$B$5:$B$139,B31,Review!$D$5:$D$139,"Yes")</f>
        <v>3</v>
      </c>
      <c r="H31" s="10">
        <f>COUNTIFS(Review!$A$5:$A$139,A31,Review!$B$5:$B$139,B31,Review!$D$5:$D$139,"No")</f>
        <v>0</v>
      </c>
      <c r="I31" s="10">
        <f>COUNTIFS(Review!$A$5:$A$139,A31,Review!$B$5:$B$139,B31,Review!$D$5:$D$139,"Unclear")</f>
        <v>0</v>
      </c>
      <c r="J31" s="10">
        <v>82</v>
      </c>
      <c r="K31" s="1" t="s">
        <v>351</v>
      </c>
    </row>
    <row r="32" spans="1:11" ht="95" customHeight="1">
      <c r="A32" s="3" t="s">
        <v>11</v>
      </c>
      <c r="B32" s="3" t="s">
        <v>358</v>
      </c>
      <c r="C32" s="3" t="s">
        <v>362</v>
      </c>
      <c r="D32" s="3" t="s">
        <v>617</v>
      </c>
      <c r="E32" s="3" t="s">
        <v>618</v>
      </c>
      <c r="F32" s="11">
        <f>COUNTIFS(Review!$A$5:$A$139,A32,Review!$B$5:$B$139,B32)</f>
        <v>3</v>
      </c>
      <c r="G32" s="11">
        <f>COUNTIFS(Review!$A$5:$A$139,A32,Review!$B$5:$B$139,B32,Review!$D$5:$D$139,"Yes")</f>
        <v>3</v>
      </c>
      <c r="H32" s="11">
        <f>COUNTIFS(Review!$A$5:$A$139,A32,Review!$B$5:$B$139,B32,Review!$D$5:$D$139,"No")</f>
        <v>0</v>
      </c>
      <c r="I32" s="11">
        <f>COUNTIFS(Review!$A$5:$A$139,A32,Review!$B$5:$B$139,B32,Review!$D$5:$D$139,"Unclear")</f>
        <v>0</v>
      </c>
      <c r="J32" s="11">
        <v>134</v>
      </c>
      <c r="K32" s="3" t="s">
        <v>363</v>
      </c>
    </row>
    <row r="33" spans="1:11" ht="95" customHeight="1">
      <c r="A33" s="1" t="s">
        <v>11</v>
      </c>
      <c r="B33" s="1" t="s">
        <v>370</v>
      </c>
      <c r="C33" s="1" t="s">
        <v>65</v>
      </c>
      <c r="D33" s="1" t="s">
        <v>619</v>
      </c>
      <c r="E33" s="1" t="s">
        <v>620</v>
      </c>
      <c r="F33" s="10">
        <f>COUNTIFS(Review!$A$5:$A$139,A33,Review!$B$5:$B$139,B33)</f>
        <v>3</v>
      </c>
      <c r="G33" s="10">
        <f>COUNTIFS(Review!$A$5:$A$139,A33,Review!$B$5:$B$139,B33,Review!$D$5:$D$139,"Yes")</f>
        <v>3</v>
      </c>
      <c r="H33" s="10">
        <f>COUNTIFS(Review!$A$5:$A$139,A33,Review!$B$5:$B$139,B33,Review!$D$5:$D$139,"No")</f>
        <v>0</v>
      </c>
      <c r="I33" s="10">
        <f>COUNTIFS(Review!$A$5:$A$139,A33,Review!$B$5:$B$139,B33,Review!$D$5:$D$139,"Unclear")</f>
        <v>0</v>
      </c>
      <c r="J33" s="10">
        <v>52</v>
      </c>
      <c r="K33" s="1" t="s">
        <v>374</v>
      </c>
    </row>
    <row r="34" spans="1:11" ht="95" customHeight="1">
      <c r="A34" s="3" t="s">
        <v>11</v>
      </c>
      <c r="B34" s="3" t="s">
        <v>381</v>
      </c>
      <c r="C34" s="3" t="s">
        <v>385</v>
      </c>
      <c r="D34" s="3" t="s">
        <v>621</v>
      </c>
      <c r="E34" s="3" t="s">
        <v>622</v>
      </c>
      <c r="F34" s="11">
        <f>COUNTIFS(Review!$A$5:$A$139,A34,Review!$B$5:$B$139,B34)</f>
        <v>3</v>
      </c>
      <c r="G34" s="11">
        <f>COUNTIFS(Review!$A$5:$A$139,A34,Review!$B$5:$B$139,B34,Review!$D$5:$D$139,"Yes")</f>
        <v>3</v>
      </c>
      <c r="H34" s="11">
        <f>COUNTIFS(Review!$A$5:$A$139,A34,Review!$B$5:$B$139,B34,Review!$D$5:$D$139,"No")</f>
        <v>0</v>
      </c>
      <c r="I34" s="11">
        <f>COUNTIFS(Review!$A$5:$A$139,A34,Review!$B$5:$B$139,B34,Review!$D$5:$D$139,"Unclear")</f>
        <v>0</v>
      </c>
      <c r="J34" s="11">
        <v>130</v>
      </c>
      <c r="K34" s="3" t="s">
        <v>386</v>
      </c>
    </row>
    <row r="35" spans="1:11" ht="95" customHeight="1">
      <c r="A35" s="1" t="s">
        <v>11</v>
      </c>
      <c r="B35" s="1" t="s">
        <v>391</v>
      </c>
      <c r="C35" s="1" t="s">
        <v>395</v>
      </c>
      <c r="D35" s="1" t="s">
        <v>623</v>
      </c>
      <c r="E35" s="1" t="s">
        <v>624</v>
      </c>
      <c r="F35" s="10">
        <f>COUNTIFS(Review!$A$5:$A$139,A35,Review!$B$5:$B$139,B35)</f>
        <v>3</v>
      </c>
      <c r="G35" s="10">
        <f>COUNTIFS(Review!$A$5:$A$139,A35,Review!$B$5:$B$139,B35,Review!$D$5:$D$139,"Yes")</f>
        <v>3</v>
      </c>
      <c r="H35" s="10">
        <f>COUNTIFS(Review!$A$5:$A$139,A35,Review!$B$5:$B$139,B35,Review!$D$5:$D$139,"No")</f>
        <v>0</v>
      </c>
      <c r="I35" s="10">
        <f>COUNTIFS(Review!$A$5:$A$139,A35,Review!$B$5:$B$139,B35,Review!$D$5:$D$139,"Unclear")</f>
        <v>0</v>
      </c>
      <c r="J35" s="10">
        <v>86</v>
      </c>
      <c r="K35" s="1" t="s">
        <v>396</v>
      </c>
    </row>
    <row r="36" spans="1:11" ht="95" customHeight="1">
      <c r="A36" s="3" t="s">
        <v>11</v>
      </c>
      <c r="B36" s="3" t="s">
        <v>403</v>
      </c>
      <c r="C36" s="3" t="s">
        <v>407</v>
      </c>
      <c r="D36" s="3" t="s">
        <v>625</v>
      </c>
      <c r="E36" s="3" t="s">
        <v>626</v>
      </c>
      <c r="F36" s="11">
        <f>COUNTIFS(Review!$A$5:$A$139,A36,Review!$B$5:$B$139,B36)</f>
        <v>3</v>
      </c>
      <c r="G36" s="11">
        <f>COUNTIFS(Review!$A$5:$A$139,A36,Review!$B$5:$B$139,B36,Review!$D$5:$D$139,"Yes")</f>
        <v>3</v>
      </c>
      <c r="H36" s="11">
        <f>COUNTIFS(Review!$A$5:$A$139,A36,Review!$B$5:$B$139,B36,Review!$D$5:$D$139,"No")</f>
        <v>0</v>
      </c>
      <c r="I36" s="11">
        <f>COUNTIFS(Review!$A$5:$A$139,A36,Review!$B$5:$B$139,B36,Review!$D$5:$D$139,"Unclear")</f>
        <v>0</v>
      </c>
      <c r="J36" s="11">
        <v>84</v>
      </c>
      <c r="K36" s="3" t="s">
        <v>408</v>
      </c>
    </row>
    <row r="37" spans="1:11" ht="95" customHeight="1">
      <c r="A37" s="1" t="s">
        <v>11</v>
      </c>
      <c r="B37" s="1" t="s">
        <v>415</v>
      </c>
      <c r="C37" s="1" t="s">
        <v>419</v>
      </c>
      <c r="D37" s="1" t="s">
        <v>627</v>
      </c>
      <c r="E37" s="1" t="s">
        <v>628</v>
      </c>
      <c r="F37" s="10">
        <f>COUNTIFS(Review!$A$5:$A$139,A37,Review!$B$5:$B$139,B37)</f>
        <v>3</v>
      </c>
      <c r="G37" s="10">
        <f>COUNTIFS(Review!$A$5:$A$139,A37,Review!$B$5:$B$139,B37,Review!$D$5:$D$139,"Yes")</f>
        <v>2</v>
      </c>
      <c r="H37" s="10">
        <f>COUNTIFS(Review!$A$5:$A$139,A37,Review!$B$5:$B$139,B37,Review!$D$5:$D$139,"No")</f>
        <v>1</v>
      </c>
      <c r="I37" s="10">
        <f>COUNTIFS(Review!$A$5:$A$139,A37,Review!$B$5:$B$139,B37,Review!$D$5:$D$139,"Unclear")</f>
        <v>0</v>
      </c>
      <c r="J37" s="10">
        <v>68</v>
      </c>
      <c r="K37" s="1" t="s">
        <v>420</v>
      </c>
    </row>
    <row r="38" spans="1:11" ht="95" customHeight="1">
      <c r="A38" s="3" t="s">
        <v>11</v>
      </c>
      <c r="B38" s="3" t="s">
        <v>427</v>
      </c>
      <c r="C38" s="3" t="s">
        <v>431</v>
      </c>
      <c r="D38" s="3" t="s">
        <v>629</v>
      </c>
      <c r="E38" s="3" t="s">
        <v>630</v>
      </c>
      <c r="F38" s="11">
        <f>COUNTIFS(Review!$A$5:$A$139,A38,Review!$B$5:$B$139,B38)</f>
        <v>3</v>
      </c>
      <c r="G38" s="11">
        <f>COUNTIFS(Review!$A$5:$A$139,A38,Review!$B$5:$B$139,B38,Review!$D$5:$D$139,"Yes")</f>
        <v>3</v>
      </c>
      <c r="H38" s="11">
        <f>COUNTIFS(Review!$A$5:$A$139,A38,Review!$B$5:$B$139,B38,Review!$D$5:$D$139,"No")</f>
        <v>0</v>
      </c>
      <c r="I38" s="11">
        <f>COUNTIFS(Review!$A$5:$A$139,A38,Review!$B$5:$B$139,B38,Review!$D$5:$D$139,"Unclear")</f>
        <v>0</v>
      </c>
      <c r="J38" s="11">
        <v>37</v>
      </c>
      <c r="K38" s="3" t="s">
        <v>432</v>
      </c>
    </row>
    <row r="39" spans="1:11" ht="95" customHeight="1">
      <c r="A39" s="1" t="s">
        <v>11</v>
      </c>
      <c r="B39" s="1" t="s">
        <v>322</v>
      </c>
      <c r="C39" s="1" t="s">
        <v>326</v>
      </c>
      <c r="D39" s="1" t="s">
        <v>631</v>
      </c>
      <c r="E39" s="1" t="s">
        <v>632</v>
      </c>
      <c r="F39" s="10">
        <f>COUNTIFS(Review!$A$5:$A$139,A39,Review!$B$5:$B$139,B39)</f>
        <v>3</v>
      </c>
      <c r="G39" s="10">
        <f>COUNTIFS(Review!$A$5:$A$139,A39,Review!$B$5:$B$139,B39,Review!$D$5:$D$139,"Yes")</f>
        <v>2</v>
      </c>
      <c r="H39" s="10">
        <f>COUNTIFS(Review!$A$5:$A$139,A39,Review!$B$5:$B$139,B39,Review!$D$5:$D$139,"No")</f>
        <v>1</v>
      </c>
      <c r="I39" s="10">
        <f>COUNTIFS(Review!$A$5:$A$139,A39,Review!$B$5:$B$139,B39,Review!$D$5:$D$139,"Unclear")</f>
        <v>0</v>
      </c>
      <c r="J39" s="10">
        <v>80</v>
      </c>
      <c r="K39" s="1" t="s">
        <v>327</v>
      </c>
    </row>
    <row r="40" spans="1:11" ht="95" customHeight="1">
      <c r="A40" s="3" t="s">
        <v>11</v>
      </c>
      <c r="B40" s="3" t="s">
        <v>334</v>
      </c>
      <c r="C40" s="3" t="s">
        <v>338</v>
      </c>
      <c r="D40" s="3" t="s">
        <v>633</v>
      </c>
      <c r="E40" s="3" t="s">
        <v>634</v>
      </c>
      <c r="F40" s="11">
        <f>COUNTIFS(Review!$A$5:$A$139,A40,Review!$B$5:$B$139,B40)</f>
        <v>3</v>
      </c>
      <c r="G40" s="11">
        <f>COUNTIFS(Review!$A$5:$A$139,A40,Review!$B$5:$B$139,B40,Review!$D$5:$D$139,"Yes")</f>
        <v>3</v>
      </c>
      <c r="H40" s="11">
        <f>COUNTIFS(Review!$A$5:$A$139,A40,Review!$B$5:$B$139,B40,Review!$D$5:$D$139,"No")</f>
        <v>0</v>
      </c>
      <c r="I40" s="11">
        <f>COUNTIFS(Review!$A$5:$A$139,A40,Review!$B$5:$B$139,B40,Review!$D$5:$D$139,"Unclear")</f>
        <v>0</v>
      </c>
      <c r="J40" s="11">
        <v>91</v>
      </c>
      <c r="K40" s="3" t="s">
        <v>339</v>
      </c>
    </row>
    <row r="41" spans="1:11" ht="95" customHeight="1">
      <c r="A41" s="1" t="s">
        <v>12</v>
      </c>
      <c r="B41" s="1" t="s">
        <v>439</v>
      </c>
      <c r="C41" s="1" t="s">
        <v>443</v>
      </c>
      <c r="D41" s="1" t="s">
        <v>635</v>
      </c>
      <c r="E41" s="1" t="s">
        <v>636</v>
      </c>
      <c r="F41" s="10">
        <f>COUNTIFS(Review!$A$5:$A$139,A41,Review!$B$5:$B$139,B41)</f>
        <v>3</v>
      </c>
      <c r="G41" s="10">
        <f>COUNTIFS(Review!$A$5:$A$139,A41,Review!$B$5:$B$139,B41,Review!$D$5:$D$139,"Yes")</f>
        <v>3</v>
      </c>
      <c r="H41" s="10">
        <f>COUNTIFS(Review!$A$5:$A$139,A41,Review!$B$5:$B$139,B41,Review!$D$5:$D$139,"No")</f>
        <v>0</v>
      </c>
      <c r="I41" s="10">
        <f>COUNTIFS(Review!$A$5:$A$139,A41,Review!$B$5:$B$139,B41,Review!$D$5:$D$139,"Unclear")</f>
        <v>0</v>
      </c>
      <c r="J41" s="10">
        <v>295</v>
      </c>
      <c r="K41" s="1" t="s">
        <v>444</v>
      </c>
    </row>
    <row r="42" spans="1:11" ht="95" customHeight="1">
      <c r="A42" s="3" t="s">
        <v>12</v>
      </c>
      <c r="B42" s="3" t="s">
        <v>479</v>
      </c>
      <c r="C42" s="3" t="s">
        <v>65</v>
      </c>
      <c r="D42" s="3" t="s">
        <v>637</v>
      </c>
      <c r="E42" s="3" t="s">
        <v>638</v>
      </c>
      <c r="F42" s="11">
        <f>COUNTIFS(Review!$A$5:$A$139,A42,Review!$B$5:$B$139,B42)</f>
        <v>3</v>
      </c>
      <c r="G42" s="11">
        <f>COUNTIFS(Review!$A$5:$A$139,A42,Review!$B$5:$B$139,B42,Review!$D$5:$D$139,"Yes")</f>
        <v>3</v>
      </c>
      <c r="H42" s="11">
        <f>COUNTIFS(Review!$A$5:$A$139,A42,Review!$B$5:$B$139,B42,Review!$D$5:$D$139,"No")</f>
        <v>0</v>
      </c>
      <c r="I42" s="11">
        <f>COUNTIFS(Review!$A$5:$A$139,A42,Review!$B$5:$B$139,B42,Review!$D$5:$D$139,"Unclear")</f>
        <v>0</v>
      </c>
      <c r="J42" s="11">
        <v>48</v>
      </c>
      <c r="K42" s="3" t="s">
        <v>481</v>
      </c>
    </row>
    <row r="43" spans="1:11" ht="95" customHeight="1">
      <c r="A43" s="1" t="s">
        <v>12</v>
      </c>
      <c r="B43" s="1" t="s">
        <v>484</v>
      </c>
      <c r="C43" s="1" t="s">
        <v>89</v>
      </c>
      <c r="D43" s="1" t="s">
        <v>639</v>
      </c>
      <c r="E43" s="1" t="s">
        <v>640</v>
      </c>
      <c r="F43" s="10">
        <f>COUNTIFS(Review!$A$5:$A$139,A43,Review!$B$5:$B$139,B43)</f>
        <v>3</v>
      </c>
      <c r="G43" s="10">
        <f>COUNTIFS(Review!$A$5:$A$139,A43,Review!$B$5:$B$139,B43,Review!$D$5:$D$139,"Yes")</f>
        <v>3</v>
      </c>
      <c r="H43" s="10">
        <f>COUNTIFS(Review!$A$5:$A$139,A43,Review!$B$5:$B$139,B43,Review!$D$5:$D$139,"No")</f>
        <v>0</v>
      </c>
      <c r="I43" s="10">
        <f>COUNTIFS(Review!$A$5:$A$139,A43,Review!$B$5:$B$139,B43,Review!$D$5:$D$139,"Unclear")</f>
        <v>0</v>
      </c>
      <c r="J43" s="10">
        <v>373</v>
      </c>
      <c r="K43" s="1" t="s">
        <v>486</v>
      </c>
    </row>
    <row r="44" spans="1:11" ht="95" customHeight="1">
      <c r="A44" s="3" t="s">
        <v>12</v>
      </c>
      <c r="B44" s="3" t="s">
        <v>493</v>
      </c>
      <c r="C44" s="3" t="s">
        <v>101</v>
      </c>
      <c r="D44" s="3" t="s">
        <v>641</v>
      </c>
      <c r="E44" s="3" t="s">
        <v>642</v>
      </c>
      <c r="F44" s="11">
        <f>COUNTIFS(Review!$A$5:$A$139,A44,Review!$B$5:$B$139,B44)</f>
        <v>3</v>
      </c>
      <c r="G44" s="11">
        <f>COUNTIFS(Review!$A$5:$A$139,A44,Review!$B$5:$B$139,B44,Review!$D$5:$D$139,"Yes")</f>
        <v>3</v>
      </c>
      <c r="H44" s="11">
        <f>COUNTIFS(Review!$A$5:$A$139,A44,Review!$B$5:$B$139,B44,Review!$D$5:$D$139,"No")</f>
        <v>0</v>
      </c>
      <c r="I44" s="11">
        <f>COUNTIFS(Review!$A$5:$A$139,A44,Review!$B$5:$B$139,B44,Review!$D$5:$D$139,"Unclear")</f>
        <v>0</v>
      </c>
      <c r="J44" s="11">
        <v>93</v>
      </c>
      <c r="K44" s="3" t="s">
        <v>495</v>
      </c>
    </row>
    <row r="45" spans="1:11" ht="95" customHeight="1">
      <c r="A45" s="1" t="s">
        <v>12</v>
      </c>
      <c r="B45" s="1" t="s">
        <v>502</v>
      </c>
      <c r="C45" s="1" t="s">
        <v>504</v>
      </c>
      <c r="D45" s="1" t="s">
        <v>643</v>
      </c>
      <c r="E45" s="1" t="s">
        <v>644</v>
      </c>
      <c r="F45" s="10">
        <f>COUNTIFS(Review!$A$5:$A$139,A45,Review!$B$5:$B$139,B45)</f>
        <v>3</v>
      </c>
      <c r="G45" s="10">
        <f>COUNTIFS(Review!$A$5:$A$139,A45,Review!$B$5:$B$139,B45,Review!$D$5:$D$139,"Yes")</f>
        <v>2</v>
      </c>
      <c r="H45" s="10">
        <f>COUNTIFS(Review!$A$5:$A$139,A45,Review!$B$5:$B$139,B45,Review!$D$5:$D$139,"No")</f>
        <v>0</v>
      </c>
      <c r="I45" s="10">
        <f>COUNTIFS(Review!$A$5:$A$139,A45,Review!$B$5:$B$139,B45,Review!$D$5:$D$139,"Unclear")</f>
        <v>1</v>
      </c>
      <c r="J45" s="10">
        <v>41</v>
      </c>
      <c r="K45" s="1" t="s">
        <v>505</v>
      </c>
    </row>
    <row r="46" spans="1:11" ht="95" customHeight="1">
      <c r="A46" s="3" t="s">
        <v>12</v>
      </c>
      <c r="B46" s="3" t="s">
        <v>508</v>
      </c>
      <c r="C46" s="3" t="s">
        <v>510</v>
      </c>
      <c r="D46" s="3" t="s">
        <v>645</v>
      </c>
      <c r="E46" s="3" t="s">
        <v>646</v>
      </c>
      <c r="F46" s="11">
        <f>COUNTIFS(Review!$A$5:$A$139,A46,Review!$B$5:$B$139,B46)</f>
        <v>3</v>
      </c>
      <c r="G46" s="11">
        <f>COUNTIFS(Review!$A$5:$A$139,A46,Review!$B$5:$B$139,B46,Review!$D$5:$D$139,"Yes")</f>
        <v>3</v>
      </c>
      <c r="H46" s="11">
        <f>COUNTIFS(Review!$A$5:$A$139,A46,Review!$B$5:$B$139,B46,Review!$D$5:$D$139,"No")</f>
        <v>0</v>
      </c>
      <c r="I46" s="11">
        <f>COUNTIFS(Review!$A$5:$A$139,A46,Review!$B$5:$B$139,B46,Review!$D$5:$D$139,"Unclear")</f>
        <v>0</v>
      </c>
      <c r="J46" s="11">
        <v>32</v>
      </c>
      <c r="K46" s="3" t="s">
        <v>511</v>
      </c>
    </row>
    <row r="47" spans="1:11" ht="95" customHeight="1">
      <c r="A47" s="1" t="s">
        <v>12</v>
      </c>
      <c r="B47" s="1" t="s">
        <v>516</v>
      </c>
      <c r="C47" s="1" t="s">
        <v>520</v>
      </c>
      <c r="D47" s="1" t="s">
        <v>647</v>
      </c>
      <c r="E47" s="1" t="s">
        <v>648</v>
      </c>
      <c r="F47" s="10">
        <f>COUNTIFS(Review!$A$5:$A$139,A47,Review!$B$5:$B$139,B47)</f>
        <v>3</v>
      </c>
      <c r="G47" s="10">
        <f>COUNTIFS(Review!$A$5:$A$139,A47,Review!$B$5:$B$139,B47,Review!$D$5:$D$139,"Yes")</f>
        <v>3</v>
      </c>
      <c r="H47" s="10">
        <f>COUNTIFS(Review!$A$5:$A$139,A47,Review!$B$5:$B$139,B47,Review!$D$5:$D$139,"No")</f>
        <v>0</v>
      </c>
      <c r="I47" s="10">
        <f>COUNTIFS(Review!$A$5:$A$139,A47,Review!$B$5:$B$139,B47,Review!$D$5:$D$139,"Unclear")</f>
        <v>0</v>
      </c>
      <c r="J47" s="10">
        <v>19</v>
      </c>
      <c r="K47" s="1" t="s">
        <v>521</v>
      </c>
    </row>
    <row r="48" spans="1:11" ht="95" customHeight="1">
      <c r="A48" s="3" t="s">
        <v>12</v>
      </c>
      <c r="B48" s="3" t="s">
        <v>526</v>
      </c>
      <c r="C48" s="3" t="s">
        <v>530</v>
      </c>
      <c r="D48" s="3" t="s">
        <v>649</v>
      </c>
      <c r="E48" s="3" t="s">
        <v>650</v>
      </c>
      <c r="F48" s="11">
        <f>COUNTIFS(Review!$A$5:$A$139,A48,Review!$B$5:$B$139,B48)</f>
        <v>3</v>
      </c>
      <c r="G48" s="11">
        <f>COUNTIFS(Review!$A$5:$A$139,A48,Review!$B$5:$B$139,B48,Review!$D$5:$D$139,"Yes")</f>
        <v>3</v>
      </c>
      <c r="H48" s="11">
        <f>COUNTIFS(Review!$A$5:$A$139,A48,Review!$B$5:$B$139,B48,Review!$D$5:$D$139,"No")</f>
        <v>0</v>
      </c>
      <c r="I48" s="11">
        <f>COUNTIFS(Review!$A$5:$A$139,A48,Review!$B$5:$B$139,B48,Review!$D$5:$D$139,"Unclear")</f>
        <v>0</v>
      </c>
      <c r="J48" s="11">
        <v>17</v>
      </c>
      <c r="K48" s="3" t="s">
        <v>531</v>
      </c>
    </row>
    <row r="49" spans="1:11" ht="95" customHeight="1">
      <c r="A49" s="1" t="s">
        <v>12</v>
      </c>
      <c r="B49" s="1" t="s">
        <v>537</v>
      </c>
      <c r="C49" s="1" t="s">
        <v>541</v>
      </c>
      <c r="D49" s="1" t="s">
        <v>651</v>
      </c>
      <c r="E49" s="1" t="s">
        <v>652</v>
      </c>
      <c r="F49" s="10">
        <f>COUNTIFS(Review!$A$5:$A$139,A49,Review!$B$5:$B$139,B49)</f>
        <v>3</v>
      </c>
      <c r="G49" s="10">
        <f>COUNTIFS(Review!$A$5:$A$139,A49,Review!$B$5:$B$139,B49,Review!$D$5:$D$139,"Yes")</f>
        <v>3</v>
      </c>
      <c r="H49" s="10">
        <f>COUNTIFS(Review!$A$5:$A$139,A49,Review!$B$5:$B$139,B49,Review!$D$5:$D$139,"No")</f>
        <v>0</v>
      </c>
      <c r="I49" s="10">
        <f>COUNTIFS(Review!$A$5:$A$139,A49,Review!$B$5:$B$139,B49,Review!$D$5:$D$139,"Unclear")</f>
        <v>0</v>
      </c>
      <c r="J49" s="10">
        <v>43</v>
      </c>
      <c r="K49" s="1" t="s">
        <v>542</v>
      </c>
    </row>
    <row r="50" spans="1:11" ht="95" customHeight="1">
      <c r="A50" s="3" t="s">
        <v>12</v>
      </c>
      <c r="B50" s="3" t="s">
        <v>449</v>
      </c>
      <c r="C50" s="3" t="s">
        <v>453</v>
      </c>
      <c r="D50" s="3" t="s">
        <v>653</v>
      </c>
      <c r="E50" s="3" t="s">
        <v>654</v>
      </c>
      <c r="F50" s="11">
        <f>COUNTIFS(Review!$A$5:$A$139,A50,Review!$B$5:$B$139,B50)</f>
        <v>3</v>
      </c>
      <c r="G50" s="11">
        <f>COUNTIFS(Review!$A$5:$A$139,A50,Review!$B$5:$B$139,B50,Review!$D$5:$D$139,"Yes")</f>
        <v>3</v>
      </c>
      <c r="H50" s="11">
        <f>COUNTIFS(Review!$A$5:$A$139,A50,Review!$B$5:$B$139,B50,Review!$D$5:$D$139,"No")</f>
        <v>0</v>
      </c>
      <c r="I50" s="11">
        <f>COUNTIFS(Review!$A$5:$A$139,A50,Review!$B$5:$B$139,B50,Review!$D$5:$D$139,"Unclear")</f>
        <v>0</v>
      </c>
      <c r="J50" s="11">
        <v>10</v>
      </c>
      <c r="K50" s="3" t="s">
        <v>454</v>
      </c>
    </row>
    <row r="51" spans="1:11" ht="95" customHeight="1">
      <c r="A51" s="1" t="s">
        <v>12</v>
      </c>
      <c r="B51" s="1" t="s">
        <v>461</v>
      </c>
      <c r="C51" s="1" t="s">
        <v>465</v>
      </c>
      <c r="D51" s="1" t="s">
        <v>655</v>
      </c>
      <c r="E51" s="1" t="s">
        <v>656</v>
      </c>
      <c r="F51" s="10">
        <f>COUNTIFS(Review!$A$5:$A$139,A51,Review!$B$5:$B$139,B51)</f>
        <v>3</v>
      </c>
      <c r="G51" s="10">
        <f>COUNTIFS(Review!$A$5:$A$139,A51,Review!$B$5:$B$139,B51,Review!$D$5:$D$139,"Yes")</f>
        <v>3</v>
      </c>
      <c r="H51" s="10">
        <f>COUNTIFS(Review!$A$5:$A$139,A51,Review!$B$5:$B$139,B51,Review!$D$5:$D$139,"No")</f>
        <v>0</v>
      </c>
      <c r="I51" s="10">
        <f>COUNTIFS(Review!$A$5:$A$139,A51,Review!$B$5:$B$139,B51,Review!$D$5:$D$139,"Unclear")</f>
        <v>0</v>
      </c>
      <c r="J51" s="10">
        <v>8</v>
      </c>
      <c r="K51" s="1" t="s">
        <v>466</v>
      </c>
    </row>
    <row r="52" spans="1:11" ht="95" customHeight="1">
      <c r="A52" s="3" t="s">
        <v>12</v>
      </c>
      <c r="B52" s="3" t="s">
        <v>469</v>
      </c>
      <c r="C52" s="3" t="s">
        <v>471</v>
      </c>
      <c r="D52" s="3" t="s">
        <v>657</v>
      </c>
      <c r="E52" s="3" t="s">
        <v>658</v>
      </c>
      <c r="F52" s="11">
        <f>COUNTIFS(Review!$A$5:$A$139,A52,Review!$B$5:$B$139,B52)</f>
        <v>3</v>
      </c>
      <c r="G52" s="11">
        <f>COUNTIFS(Review!$A$5:$A$139,A52,Review!$B$5:$B$139,B52,Review!$D$5:$D$139,"Yes")</f>
        <v>3</v>
      </c>
      <c r="H52" s="11">
        <f>COUNTIFS(Review!$A$5:$A$139,A52,Review!$B$5:$B$139,B52,Review!$D$5:$D$139,"No")</f>
        <v>0</v>
      </c>
      <c r="I52" s="11">
        <f>COUNTIFS(Review!$A$5:$A$139,A52,Review!$B$5:$B$139,B52,Review!$D$5:$D$139,"Unclear")</f>
        <v>0</v>
      </c>
      <c r="J52" s="11">
        <v>21</v>
      </c>
      <c r="K52" s="3" t="s">
        <v>472</v>
      </c>
    </row>
  </sheetData>
  <mergeCells count="2">
    <mergeCell ref="A1:K1"/>
    <mergeCell ref="A2:K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6B6E"/>
  </sheetPr>
  <dimension ref="A1:E185"/>
  <sheetViews>
    <sheetView showGridLines="0" workbookViewId="0">
      <pane ySplit="5" topLeftCell="A6" activePane="bottomLeft" state="frozen"/>
      <selection pane="bottomLeft" sqref="A1:E1"/>
    </sheetView>
  </sheetViews>
  <sheetFormatPr defaultRowHeight="14"/>
  <cols>
    <col min="1" max="1" width="11.6640625" customWidth="1"/>
    <col min="2" max="2" width="6.08203125" customWidth="1"/>
    <col min="3" max="3" width="6.6640625" customWidth="1"/>
    <col min="4" max="4" width="105.58203125" customWidth="1"/>
    <col min="5" max="5" width="15.58203125" customWidth="1"/>
  </cols>
  <sheetData>
    <row r="1" spans="1:5" ht="32" customHeight="1">
      <c r="A1" s="15" t="s">
        <v>659</v>
      </c>
      <c r="B1" s="15" t="s">
        <v>659</v>
      </c>
      <c r="C1" s="15" t="s">
        <v>659</v>
      </c>
      <c r="D1" s="15" t="s">
        <v>659</v>
      </c>
      <c r="E1" s="15" t="s">
        <v>659</v>
      </c>
    </row>
    <row r="2" spans="1:5" ht="30" customHeight="1">
      <c r="A2" s="16" t="s">
        <v>660</v>
      </c>
      <c r="B2" s="16" t="s">
        <v>660</v>
      </c>
      <c r="C2" s="16" t="s">
        <v>660</v>
      </c>
      <c r="D2" s="16" t="s">
        <v>660</v>
      </c>
      <c r="E2" s="16" t="s">
        <v>660</v>
      </c>
    </row>
    <row r="3" spans="1:5" ht="34" customHeight="1">
      <c r="A3" s="17" t="s">
        <v>661</v>
      </c>
      <c r="B3" s="17" t="s">
        <v>661</v>
      </c>
      <c r="C3" s="17" t="s">
        <v>661</v>
      </c>
      <c r="D3" s="17" t="s">
        <v>661</v>
      </c>
      <c r="E3" s="17" t="s">
        <v>661</v>
      </c>
    </row>
    <row r="4" spans="1:5">
      <c r="A4" s="1"/>
      <c r="B4" s="1"/>
      <c r="C4" s="1"/>
      <c r="D4" s="1"/>
      <c r="E4" s="1"/>
    </row>
    <row r="5" spans="1:5" ht="30" customHeight="1">
      <c r="A5" s="2" t="s">
        <v>41</v>
      </c>
      <c r="B5" s="2" t="s">
        <v>662</v>
      </c>
      <c r="C5" s="2" t="s">
        <v>663</v>
      </c>
      <c r="D5" s="2" t="s">
        <v>664</v>
      </c>
      <c r="E5" s="2" t="s">
        <v>665</v>
      </c>
    </row>
    <row r="6" spans="1:5" ht="114" customHeight="1">
      <c r="A6" s="4" t="s">
        <v>50</v>
      </c>
      <c r="B6" s="1">
        <v>1</v>
      </c>
      <c r="C6" s="1">
        <v>7</v>
      </c>
      <c r="D6" s="1" t="s">
        <v>666</v>
      </c>
      <c r="E6" s="1" t="s">
        <v>667</v>
      </c>
    </row>
    <row r="7" spans="1:5" ht="114" customHeight="1">
      <c r="A7" s="5" t="s">
        <v>50</v>
      </c>
      <c r="B7" s="3">
        <v>2</v>
      </c>
      <c r="C7" s="3">
        <v>7</v>
      </c>
      <c r="D7" s="3" t="s">
        <v>668</v>
      </c>
      <c r="E7" s="3" t="s">
        <v>667</v>
      </c>
    </row>
    <row r="8" spans="1:5" ht="114" customHeight="1">
      <c r="A8" s="4" t="s">
        <v>50</v>
      </c>
      <c r="B8" s="1">
        <v>3</v>
      </c>
      <c r="C8" s="1">
        <v>7</v>
      </c>
      <c r="D8" s="1" t="s">
        <v>669</v>
      </c>
      <c r="E8" s="1" t="s">
        <v>667</v>
      </c>
    </row>
    <row r="9" spans="1:5" ht="114" customHeight="1">
      <c r="A9" s="5" t="s">
        <v>50</v>
      </c>
      <c r="B9" s="3">
        <v>4</v>
      </c>
      <c r="C9" s="3">
        <v>7</v>
      </c>
      <c r="D9" s="3" t="s">
        <v>670</v>
      </c>
      <c r="E9" s="3" t="s">
        <v>667</v>
      </c>
    </row>
    <row r="10" spans="1:5" ht="114" customHeight="1">
      <c r="A10" s="4" t="s">
        <v>50</v>
      </c>
      <c r="B10" s="1">
        <v>5</v>
      </c>
      <c r="C10" s="1">
        <v>7</v>
      </c>
      <c r="D10" s="1" t="s">
        <v>671</v>
      </c>
      <c r="E10" s="1" t="s">
        <v>667</v>
      </c>
    </row>
    <row r="11" spans="1:5" ht="114" customHeight="1">
      <c r="A11" s="5" t="s">
        <v>50</v>
      </c>
      <c r="B11" s="3">
        <v>6</v>
      </c>
      <c r="C11" s="3">
        <v>7</v>
      </c>
      <c r="D11" s="3" t="s">
        <v>672</v>
      </c>
      <c r="E11" s="3" t="s">
        <v>667</v>
      </c>
    </row>
    <row r="12" spans="1:5" ht="88" customHeight="1">
      <c r="A12" s="4" t="s">
        <v>50</v>
      </c>
      <c r="B12" s="1">
        <v>7</v>
      </c>
      <c r="C12" s="1">
        <v>7</v>
      </c>
      <c r="D12" s="1" t="s">
        <v>673</v>
      </c>
      <c r="E12" s="1" t="s">
        <v>667</v>
      </c>
    </row>
    <row r="13" spans="1:5" ht="114" customHeight="1">
      <c r="A13" s="5" t="s">
        <v>55</v>
      </c>
      <c r="B13" s="3">
        <v>1</v>
      </c>
      <c r="C13" s="3">
        <v>4</v>
      </c>
      <c r="D13" s="3" t="s">
        <v>674</v>
      </c>
      <c r="E13" s="3" t="s">
        <v>675</v>
      </c>
    </row>
    <row r="14" spans="1:5" ht="114" customHeight="1">
      <c r="A14" s="4" t="s">
        <v>55</v>
      </c>
      <c r="B14" s="1">
        <v>2</v>
      </c>
      <c r="C14" s="1">
        <v>4</v>
      </c>
      <c r="D14" s="1" t="s">
        <v>676</v>
      </c>
      <c r="E14" s="1" t="s">
        <v>675</v>
      </c>
    </row>
    <row r="15" spans="1:5" ht="114" customHeight="1">
      <c r="A15" s="5" t="s">
        <v>55</v>
      </c>
      <c r="B15" s="3">
        <v>3</v>
      </c>
      <c r="C15" s="3">
        <v>4</v>
      </c>
      <c r="D15" s="3" t="s">
        <v>677</v>
      </c>
      <c r="E15" s="3" t="s">
        <v>675</v>
      </c>
    </row>
    <row r="16" spans="1:5" ht="101" customHeight="1">
      <c r="A16" s="4" t="s">
        <v>55</v>
      </c>
      <c r="B16" s="1">
        <v>4</v>
      </c>
      <c r="C16" s="1">
        <v>4</v>
      </c>
      <c r="D16" s="1" t="s">
        <v>678</v>
      </c>
      <c r="E16" s="1" t="s">
        <v>675</v>
      </c>
    </row>
    <row r="17" spans="1:5" ht="114" customHeight="1">
      <c r="A17" s="5" t="s">
        <v>58</v>
      </c>
      <c r="B17" s="3">
        <v>1</v>
      </c>
      <c r="C17" s="3">
        <v>3</v>
      </c>
      <c r="D17" s="3" t="s">
        <v>679</v>
      </c>
      <c r="E17" s="3" t="s">
        <v>680</v>
      </c>
    </row>
    <row r="18" spans="1:5" ht="114" customHeight="1">
      <c r="A18" s="4" t="s">
        <v>58</v>
      </c>
      <c r="B18" s="1">
        <v>2</v>
      </c>
      <c r="C18" s="1">
        <v>3</v>
      </c>
      <c r="D18" s="1" t="s">
        <v>681</v>
      </c>
      <c r="E18" s="1" t="s">
        <v>680</v>
      </c>
    </row>
    <row r="19" spans="1:5" ht="49" customHeight="1">
      <c r="A19" s="5" t="s">
        <v>58</v>
      </c>
      <c r="B19" s="3">
        <v>3</v>
      </c>
      <c r="C19" s="3">
        <v>3</v>
      </c>
      <c r="D19" s="3" t="s">
        <v>682</v>
      </c>
      <c r="E19" s="3" t="s">
        <v>680</v>
      </c>
    </row>
    <row r="20" spans="1:5" ht="62" customHeight="1">
      <c r="A20" s="4" t="s">
        <v>62</v>
      </c>
      <c r="B20" s="1">
        <v>1</v>
      </c>
      <c r="C20" s="1">
        <v>1</v>
      </c>
      <c r="D20" s="1" t="s">
        <v>64</v>
      </c>
      <c r="E20" s="1" t="s">
        <v>683</v>
      </c>
    </row>
    <row r="21" spans="1:5" ht="62" customHeight="1">
      <c r="A21" s="5" t="s">
        <v>67</v>
      </c>
      <c r="B21" s="3">
        <v>1</v>
      </c>
      <c r="C21" s="3">
        <v>1</v>
      </c>
      <c r="D21" s="3" t="s">
        <v>69</v>
      </c>
      <c r="E21" s="3" t="s">
        <v>684</v>
      </c>
    </row>
    <row r="22" spans="1:5" ht="62" customHeight="1">
      <c r="A22" s="4" t="s">
        <v>70</v>
      </c>
      <c r="B22" s="1">
        <v>1</v>
      </c>
      <c r="C22" s="1">
        <v>1</v>
      </c>
      <c r="D22" s="1" t="s">
        <v>72</v>
      </c>
      <c r="E22" s="1" t="s">
        <v>685</v>
      </c>
    </row>
    <row r="23" spans="1:5" ht="38" customHeight="1">
      <c r="A23" s="5" t="s">
        <v>74</v>
      </c>
      <c r="B23" s="3">
        <v>1</v>
      </c>
      <c r="C23" s="3">
        <v>1</v>
      </c>
      <c r="D23" s="3" t="s">
        <v>76</v>
      </c>
      <c r="E23" s="3" t="s">
        <v>686</v>
      </c>
    </row>
    <row r="24" spans="1:5" ht="75" customHeight="1">
      <c r="A24" s="4" t="s">
        <v>79</v>
      </c>
      <c r="B24" s="1">
        <v>1</v>
      </c>
      <c r="C24" s="1">
        <v>1</v>
      </c>
      <c r="D24" s="1" t="s">
        <v>687</v>
      </c>
      <c r="E24" s="1" t="s">
        <v>688</v>
      </c>
    </row>
    <row r="25" spans="1:5" ht="75" customHeight="1">
      <c r="A25" s="5" t="s">
        <v>82</v>
      </c>
      <c r="B25" s="3">
        <v>1</v>
      </c>
      <c r="C25" s="3">
        <v>1</v>
      </c>
      <c r="D25" s="3" t="s">
        <v>689</v>
      </c>
      <c r="E25" s="3" t="s">
        <v>690</v>
      </c>
    </row>
    <row r="26" spans="1:5" ht="114" customHeight="1">
      <c r="A26" s="4" t="s">
        <v>86</v>
      </c>
      <c r="B26" s="1">
        <v>1</v>
      </c>
      <c r="C26" s="1">
        <v>3</v>
      </c>
      <c r="D26" s="1" t="s">
        <v>691</v>
      </c>
      <c r="E26" s="1" t="s">
        <v>692</v>
      </c>
    </row>
    <row r="27" spans="1:5" ht="114" customHeight="1">
      <c r="A27" s="5" t="s">
        <v>86</v>
      </c>
      <c r="B27" s="3">
        <v>2</v>
      </c>
      <c r="C27" s="3">
        <v>3</v>
      </c>
      <c r="D27" s="3" t="s">
        <v>693</v>
      </c>
      <c r="E27" s="3" t="s">
        <v>692</v>
      </c>
    </row>
    <row r="28" spans="1:5" ht="62" customHeight="1">
      <c r="A28" s="4" t="s">
        <v>86</v>
      </c>
      <c r="B28" s="1">
        <v>3</v>
      </c>
      <c r="C28" s="1">
        <v>3</v>
      </c>
      <c r="D28" s="1" t="s">
        <v>694</v>
      </c>
      <c r="E28" s="1" t="s">
        <v>692</v>
      </c>
    </row>
    <row r="29" spans="1:5" ht="114" customHeight="1">
      <c r="A29" s="5" t="s">
        <v>91</v>
      </c>
      <c r="B29" s="3">
        <v>1</v>
      </c>
      <c r="C29" s="3">
        <v>3</v>
      </c>
      <c r="D29" s="3" t="s">
        <v>695</v>
      </c>
      <c r="E29" s="3" t="s">
        <v>696</v>
      </c>
    </row>
    <row r="30" spans="1:5" ht="114" customHeight="1">
      <c r="A30" s="4" t="s">
        <v>91</v>
      </c>
      <c r="B30" s="1">
        <v>2</v>
      </c>
      <c r="C30" s="1">
        <v>3</v>
      </c>
      <c r="D30" s="1" t="s">
        <v>697</v>
      </c>
      <c r="E30" s="1" t="s">
        <v>696</v>
      </c>
    </row>
    <row r="31" spans="1:5" ht="75" customHeight="1">
      <c r="A31" s="5" t="s">
        <v>91</v>
      </c>
      <c r="B31" s="3">
        <v>3</v>
      </c>
      <c r="C31" s="3">
        <v>3</v>
      </c>
      <c r="D31" s="3" t="s">
        <v>698</v>
      </c>
      <c r="E31" s="3" t="s">
        <v>696</v>
      </c>
    </row>
    <row r="32" spans="1:5" ht="114" customHeight="1">
      <c r="A32" s="4" t="s">
        <v>94</v>
      </c>
      <c r="B32" s="1">
        <v>1</v>
      </c>
      <c r="C32" s="1">
        <v>3</v>
      </c>
      <c r="D32" s="1" t="s">
        <v>699</v>
      </c>
      <c r="E32" s="1" t="s">
        <v>700</v>
      </c>
    </row>
    <row r="33" spans="1:5" ht="114" customHeight="1">
      <c r="A33" s="5" t="s">
        <v>94</v>
      </c>
      <c r="B33" s="3">
        <v>2</v>
      </c>
      <c r="C33" s="3">
        <v>3</v>
      </c>
      <c r="D33" s="3" t="s">
        <v>701</v>
      </c>
      <c r="E33" s="3" t="s">
        <v>700</v>
      </c>
    </row>
    <row r="34" spans="1:5" ht="75" customHeight="1">
      <c r="A34" s="4" t="s">
        <v>94</v>
      </c>
      <c r="B34" s="1">
        <v>3</v>
      </c>
      <c r="C34" s="1">
        <v>3</v>
      </c>
      <c r="D34" s="1" t="s">
        <v>702</v>
      </c>
      <c r="E34" s="1" t="s">
        <v>700</v>
      </c>
    </row>
    <row r="35" spans="1:5" ht="114" customHeight="1">
      <c r="A35" s="5" t="s">
        <v>98</v>
      </c>
      <c r="B35" s="3">
        <v>1</v>
      </c>
      <c r="C35" s="3">
        <v>2</v>
      </c>
      <c r="D35" s="3" t="s">
        <v>703</v>
      </c>
      <c r="E35" s="3" t="s">
        <v>704</v>
      </c>
    </row>
    <row r="36" spans="1:5" ht="101" customHeight="1">
      <c r="A36" s="4" t="s">
        <v>98</v>
      </c>
      <c r="B36" s="1">
        <v>2</v>
      </c>
      <c r="C36" s="1">
        <v>2</v>
      </c>
      <c r="D36" s="1" t="s">
        <v>705</v>
      </c>
      <c r="E36" s="1" t="s">
        <v>704</v>
      </c>
    </row>
    <row r="37" spans="1:5" ht="88" customHeight="1">
      <c r="A37" s="5" t="s">
        <v>103</v>
      </c>
      <c r="B37" s="3">
        <v>1</v>
      </c>
      <c r="C37" s="3">
        <v>1</v>
      </c>
      <c r="D37" s="3" t="s">
        <v>706</v>
      </c>
      <c r="E37" s="3" t="s">
        <v>707</v>
      </c>
    </row>
    <row r="38" spans="1:5" ht="114" customHeight="1">
      <c r="A38" s="4" t="s">
        <v>106</v>
      </c>
      <c r="B38" s="1">
        <v>1</v>
      </c>
      <c r="C38" s="1">
        <v>3</v>
      </c>
      <c r="D38" s="1" t="s">
        <v>708</v>
      </c>
      <c r="E38" s="1" t="s">
        <v>709</v>
      </c>
    </row>
    <row r="39" spans="1:5" ht="114" customHeight="1">
      <c r="A39" s="5" t="s">
        <v>106</v>
      </c>
      <c r="B39" s="3">
        <v>2</v>
      </c>
      <c r="C39" s="3">
        <v>3</v>
      </c>
      <c r="D39" s="3" t="s">
        <v>710</v>
      </c>
      <c r="E39" s="3" t="s">
        <v>709</v>
      </c>
    </row>
    <row r="40" spans="1:5" ht="38" customHeight="1">
      <c r="A40" s="4" t="s">
        <v>106</v>
      </c>
      <c r="B40" s="1">
        <v>3</v>
      </c>
      <c r="C40" s="1">
        <v>3</v>
      </c>
      <c r="D40" s="1" t="s">
        <v>711</v>
      </c>
      <c r="E40" s="1" t="s">
        <v>709</v>
      </c>
    </row>
    <row r="41" spans="1:5" ht="38" customHeight="1">
      <c r="A41" s="5" t="s">
        <v>110</v>
      </c>
      <c r="B41" s="3">
        <v>1</v>
      </c>
      <c r="C41" s="3">
        <v>1</v>
      </c>
      <c r="D41" s="3" t="s">
        <v>112</v>
      </c>
      <c r="E41" s="3" t="s">
        <v>712</v>
      </c>
    </row>
    <row r="42" spans="1:5" ht="49" customHeight="1">
      <c r="A42" s="4" t="s">
        <v>115</v>
      </c>
      <c r="B42" s="1">
        <v>1</v>
      </c>
      <c r="C42" s="1">
        <v>1</v>
      </c>
      <c r="D42" s="1" t="s">
        <v>117</v>
      </c>
      <c r="E42" s="1" t="s">
        <v>713</v>
      </c>
    </row>
    <row r="43" spans="1:5" ht="75" customHeight="1">
      <c r="A43" s="5" t="s">
        <v>118</v>
      </c>
      <c r="B43" s="3">
        <v>1</v>
      </c>
      <c r="C43" s="3">
        <v>1</v>
      </c>
      <c r="D43" s="3" t="s">
        <v>714</v>
      </c>
      <c r="E43" s="3" t="s">
        <v>715</v>
      </c>
    </row>
    <row r="44" spans="1:5" ht="49" customHeight="1">
      <c r="A44" s="4" t="s">
        <v>122</v>
      </c>
      <c r="B44" s="1">
        <v>1</v>
      </c>
      <c r="C44" s="1">
        <v>1</v>
      </c>
      <c r="D44" s="1" t="s">
        <v>124</v>
      </c>
      <c r="E44" s="1" t="s">
        <v>716</v>
      </c>
    </row>
    <row r="45" spans="1:5" ht="38" customHeight="1">
      <c r="A45" s="5" t="s">
        <v>127</v>
      </c>
      <c r="B45" s="3">
        <v>1</v>
      </c>
      <c r="C45" s="3">
        <v>1</v>
      </c>
      <c r="D45" s="3" t="s">
        <v>129</v>
      </c>
      <c r="E45" s="3" t="s">
        <v>717</v>
      </c>
    </row>
    <row r="46" spans="1:5" ht="62" customHeight="1">
      <c r="A46" s="4" t="s">
        <v>130</v>
      </c>
      <c r="B46" s="1">
        <v>1</v>
      </c>
      <c r="C46" s="1">
        <v>1</v>
      </c>
      <c r="D46" s="1" t="s">
        <v>718</v>
      </c>
      <c r="E46" s="1" t="s">
        <v>719</v>
      </c>
    </row>
    <row r="47" spans="1:5" ht="38" customHeight="1">
      <c r="A47" s="5" t="s">
        <v>134</v>
      </c>
      <c r="B47" s="3">
        <v>1</v>
      </c>
      <c r="C47" s="3">
        <v>1</v>
      </c>
      <c r="D47" s="3" t="s">
        <v>136</v>
      </c>
      <c r="E47" s="3" t="s">
        <v>720</v>
      </c>
    </row>
    <row r="48" spans="1:5" ht="38" customHeight="1">
      <c r="A48" s="4" t="s">
        <v>139</v>
      </c>
      <c r="B48" s="1">
        <v>1</v>
      </c>
      <c r="C48" s="1">
        <v>1</v>
      </c>
      <c r="D48" s="1" t="s">
        <v>141</v>
      </c>
      <c r="E48" s="1" t="s">
        <v>721</v>
      </c>
    </row>
    <row r="49" spans="1:5" ht="75" customHeight="1">
      <c r="A49" s="5" t="s">
        <v>142</v>
      </c>
      <c r="B49" s="3">
        <v>1</v>
      </c>
      <c r="C49" s="3">
        <v>1</v>
      </c>
      <c r="D49" s="3" t="s">
        <v>722</v>
      </c>
      <c r="E49" s="3" t="s">
        <v>723</v>
      </c>
    </row>
    <row r="50" spans="1:5" ht="38" customHeight="1">
      <c r="A50" s="4" t="s">
        <v>146</v>
      </c>
      <c r="B50" s="1">
        <v>1</v>
      </c>
      <c r="C50" s="1">
        <v>1</v>
      </c>
      <c r="D50" s="1" t="s">
        <v>148</v>
      </c>
      <c r="E50" s="1" t="s">
        <v>724</v>
      </c>
    </row>
    <row r="51" spans="1:5" ht="38" customHeight="1">
      <c r="A51" s="5" t="s">
        <v>151</v>
      </c>
      <c r="B51" s="3">
        <v>1</v>
      </c>
      <c r="C51" s="3">
        <v>1</v>
      </c>
      <c r="D51" s="3" t="s">
        <v>153</v>
      </c>
      <c r="E51" s="3" t="s">
        <v>725</v>
      </c>
    </row>
    <row r="52" spans="1:5" ht="114" customHeight="1">
      <c r="A52" s="4" t="s">
        <v>154</v>
      </c>
      <c r="B52" s="1">
        <v>1</v>
      </c>
      <c r="C52" s="1">
        <v>2</v>
      </c>
      <c r="D52" s="1" t="s">
        <v>726</v>
      </c>
      <c r="E52" s="1" t="s">
        <v>727</v>
      </c>
    </row>
    <row r="53" spans="1:5" ht="62" customHeight="1">
      <c r="A53" s="5" t="s">
        <v>154</v>
      </c>
      <c r="B53" s="3">
        <v>2</v>
      </c>
      <c r="C53" s="3">
        <v>2</v>
      </c>
      <c r="D53" s="3" t="s">
        <v>728</v>
      </c>
      <c r="E53" s="3" t="s">
        <v>727</v>
      </c>
    </row>
    <row r="54" spans="1:5" ht="62" customHeight="1">
      <c r="A54" s="4" t="s">
        <v>158</v>
      </c>
      <c r="B54" s="1">
        <v>1</v>
      </c>
      <c r="C54" s="1">
        <v>1</v>
      </c>
      <c r="D54" s="1" t="s">
        <v>160</v>
      </c>
      <c r="E54" s="1" t="s">
        <v>729</v>
      </c>
    </row>
    <row r="55" spans="1:5" ht="49" customHeight="1">
      <c r="A55" s="5" t="s">
        <v>163</v>
      </c>
      <c r="B55" s="3">
        <v>1</v>
      </c>
      <c r="C55" s="3">
        <v>1</v>
      </c>
      <c r="D55" s="3" t="s">
        <v>165</v>
      </c>
      <c r="E55" s="3" t="s">
        <v>730</v>
      </c>
    </row>
    <row r="56" spans="1:5" ht="62" customHeight="1">
      <c r="A56" s="4" t="s">
        <v>166</v>
      </c>
      <c r="B56" s="1">
        <v>1</v>
      </c>
      <c r="C56" s="1">
        <v>1</v>
      </c>
      <c r="D56" s="1" t="s">
        <v>168</v>
      </c>
      <c r="E56" s="1" t="s">
        <v>731</v>
      </c>
    </row>
    <row r="57" spans="1:5" ht="49" customHeight="1">
      <c r="A57" s="5" t="s">
        <v>170</v>
      </c>
      <c r="B57" s="3">
        <v>1</v>
      </c>
      <c r="C57" s="3">
        <v>1</v>
      </c>
      <c r="D57" s="3" t="s">
        <v>172</v>
      </c>
      <c r="E57" s="3" t="s">
        <v>732</v>
      </c>
    </row>
    <row r="58" spans="1:5" ht="75" customHeight="1">
      <c r="A58" s="4" t="s">
        <v>175</v>
      </c>
      <c r="B58" s="1">
        <v>1</v>
      </c>
      <c r="C58" s="1">
        <v>1</v>
      </c>
      <c r="D58" s="1" t="s">
        <v>733</v>
      </c>
      <c r="E58" s="1" t="s">
        <v>734</v>
      </c>
    </row>
    <row r="59" spans="1:5" ht="114" customHeight="1">
      <c r="A59" s="5" t="s">
        <v>178</v>
      </c>
      <c r="B59" s="3">
        <v>1</v>
      </c>
      <c r="C59" s="3">
        <v>2</v>
      </c>
      <c r="D59" s="3" t="s">
        <v>735</v>
      </c>
      <c r="E59" s="3" t="s">
        <v>736</v>
      </c>
    </row>
    <row r="60" spans="1:5" ht="38" customHeight="1">
      <c r="A60" s="4" t="s">
        <v>178</v>
      </c>
      <c r="B60" s="1">
        <v>2</v>
      </c>
      <c r="C60" s="1">
        <v>2</v>
      </c>
      <c r="D60" s="1" t="s">
        <v>737</v>
      </c>
      <c r="E60" s="1" t="s">
        <v>736</v>
      </c>
    </row>
    <row r="61" spans="1:5" ht="114" customHeight="1">
      <c r="A61" s="5" t="s">
        <v>182</v>
      </c>
      <c r="B61" s="3">
        <v>1</v>
      </c>
      <c r="C61" s="3">
        <v>2</v>
      </c>
      <c r="D61" s="3" t="s">
        <v>738</v>
      </c>
      <c r="E61" s="3" t="s">
        <v>739</v>
      </c>
    </row>
    <row r="62" spans="1:5" ht="75" customHeight="1">
      <c r="A62" s="4" t="s">
        <v>182</v>
      </c>
      <c r="B62" s="1">
        <v>2</v>
      </c>
      <c r="C62" s="1">
        <v>2</v>
      </c>
      <c r="D62" s="1" t="s">
        <v>740</v>
      </c>
      <c r="E62" s="1" t="s">
        <v>739</v>
      </c>
    </row>
    <row r="63" spans="1:5" ht="114" customHeight="1">
      <c r="A63" s="5" t="s">
        <v>187</v>
      </c>
      <c r="B63" s="3">
        <v>1</v>
      </c>
      <c r="C63" s="3">
        <v>2</v>
      </c>
      <c r="D63" s="3" t="s">
        <v>741</v>
      </c>
      <c r="E63" s="3" t="s">
        <v>742</v>
      </c>
    </row>
    <row r="64" spans="1:5" ht="38" customHeight="1">
      <c r="A64" s="4" t="s">
        <v>187</v>
      </c>
      <c r="B64" s="1">
        <v>2</v>
      </c>
      <c r="C64" s="1">
        <v>2</v>
      </c>
      <c r="D64" s="1" t="s">
        <v>743</v>
      </c>
      <c r="E64" s="1" t="s">
        <v>742</v>
      </c>
    </row>
    <row r="65" spans="1:5" ht="114" customHeight="1">
      <c r="A65" s="5" t="s">
        <v>190</v>
      </c>
      <c r="B65" s="3">
        <v>1</v>
      </c>
      <c r="C65" s="3">
        <v>2</v>
      </c>
      <c r="D65" s="3" t="s">
        <v>744</v>
      </c>
      <c r="E65" s="3" t="s">
        <v>745</v>
      </c>
    </row>
    <row r="66" spans="1:5" ht="38" customHeight="1">
      <c r="A66" s="4" t="s">
        <v>190</v>
      </c>
      <c r="B66" s="1">
        <v>2</v>
      </c>
      <c r="C66" s="1">
        <v>2</v>
      </c>
      <c r="D66" s="1" t="s">
        <v>746</v>
      </c>
      <c r="E66" s="1" t="s">
        <v>745</v>
      </c>
    </row>
    <row r="67" spans="1:5" ht="88" customHeight="1">
      <c r="A67" s="5" t="s">
        <v>194</v>
      </c>
      <c r="B67" s="3">
        <v>1</v>
      </c>
      <c r="C67" s="3">
        <v>1</v>
      </c>
      <c r="D67" s="3" t="s">
        <v>747</v>
      </c>
      <c r="E67" s="3" t="s">
        <v>748</v>
      </c>
    </row>
    <row r="68" spans="1:5" ht="75" customHeight="1">
      <c r="A68" s="4" t="s">
        <v>199</v>
      </c>
      <c r="B68" s="1">
        <v>1</v>
      </c>
      <c r="C68" s="1">
        <v>1</v>
      </c>
      <c r="D68" s="1" t="s">
        <v>749</v>
      </c>
      <c r="E68" s="1" t="s">
        <v>750</v>
      </c>
    </row>
    <row r="69" spans="1:5" ht="75" customHeight="1">
      <c r="A69" s="5" t="s">
        <v>202</v>
      </c>
      <c r="B69" s="3">
        <v>1</v>
      </c>
      <c r="C69" s="3">
        <v>1</v>
      </c>
      <c r="D69" s="3" t="s">
        <v>751</v>
      </c>
      <c r="E69" s="3" t="s">
        <v>752</v>
      </c>
    </row>
    <row r="70" spans="1:5" ht="114" customHeight="1">
      <c r="A70" s="4" t="s">
        <v>206</v>
      </c>
      <c r="B70" s="1">
        <v>1</v>
      </c>
      <c r="C70" s="1">
        <v>2</v>
      </c>
      <c r="D70" s="1" t="s">
        <v>753</v>
      </c>
      <c r="E70" s="1" t="s">
        <v>754</v>
      </c>
    </row>
    <row r="71" spans="1:5" ht="101" customHeight="1">
      <c r="A71" s="5" t="s">
        <v>206</v>
      </c>
      <c r="B71" s="3">
        <v>2</v>
      </c>
      <c r="C71" s="3">
        <v>2</v>
      </c>
      <c r="D71" s="3" t="s">
        <v>755</v>
      </c>
      <c r="E71" s="3" t="s">
        <v>754</v>
      </c>
    </row>
    <row r="72" spans="1:5" ht="114" customHeight="1">
      <c r="A72" s="4" t="s">
        <v>211</v>
      </c>
      <c r="B72" s="1">
        <v>1</v>
      </c>
      <c r="C72" s="1">
        <v>2</v>
      </c>
      <c r="D72" s="1" t="s">
        <v>756</v>
      </c>
      <c r="E72" s="1" t="s">
        <v>757</v>
      </c>
    </row>
    <row r="73" spans="1:5" ht="101" customHeight="1">
      <c r="A73" s="5" t="s">
        <v>211</v>
      </c>
      <c r="B73" s="3">
        <v>2</v>
      </c>
      <c r="C73" s="3">
        <v>2</v>
      </c>
      <c r="D73" s="3" t="s">
        <v>758</v>
      </c>
      <c r="E73" s="3" t="s">
        <v>757</v>
      </c>
    </row>
    <row r="74" spans="1:5" ht="38" customHeight="1">
      <c r="A74" s="4" t="s">
        <v>214</v>
      </c>
      <c r="B74" s="1">
        <v>1</v>
      </c>
      <c r="C74" s="1">
        <v>1</v>
      </c>
      <c r="D74" s="1" t="s">
        <v>216</v>
      </c>
      <c r="E74" s="1" t="s">
        <v>759</v>
      </c>
    </row>
    <row r="75" spans="1:5" ht="38" customHeight="1">
      <c r="A75" s="5" t="s">
        <v>218</v>
      </c>
      <c r="B75" s="3">
        <v>1</v>
      </c>
      <c r="C75" s="3">
        <v>1</v>
      </c>
      <c r="D75" s="3" t="s">
        <v>220</v>
      </c>
      <c r="E75" s="3" t="s">
        <v>760</v>
      </c>
    </row>
    <row r="76" spans="1:5" ht="75" customHeight="1">
      <c r="A76" s="4" t="s">
        <v>223</v>
      </c>
      <c r="B76" s="1">
        <v>1</v>
      </c>
      <c r="C76" s="1">
        <v>1</v>
      </c>
      <c r="D76" s="1" t="s">
        <v>761</v>
      </c>
      <c r="E76" s="1" t="s">
        <v>762</v>
      </c>
    </row>
    <row r="77" spans="1:5" ht="38" customHeight="1">
      <c r="A77" s="5" t="s">
        <v>228</v>
      </c>
      <c r="B77" s="3">
        <v>1</v>
      </c>
      <c r="C77" s="3">
        <v>1</v>
      </c>
      <c r="D77" s="3" t="s">
        <v>230</v>
      </c>
      <c r="E77" s="3" t="s">
        <v>763</v>
      </c>
    </row>
    <row r="78" spans="1:5" ht="75" customHeight="1">
      <c r="A78" s="4" t="s">
        <v>232</v>
      </c>
      <c r="B78" s="1">
        <v>1</v>
      </c>
      <c r="C78" s="1">
        <v>1</v>
      </c>
      <c r="D78" s="1" t="s">
        <v>764</v>
      </c>
      <c r="E78" s="1" t="s">
        <v>765</v>
      </c>
    </row>
    <row r="79" spans="1:5" ht="62" customHeight="1">
      <c r="A79" s="5" t="s">
        <v>235</v>
      </c>
      <c r="B79" s="3">
        <v>1</v>
      </c>
      <c r="C79" s="3">
        <v>1</v>
      </c>
      <c r="D79" s="3" t="s">
        <v>766</v>
      </c>
      <c r="E79" s="3" t="s">
        <v>767</v>
      </c>
    </row>
    <row r="80" spans="1:5" ht="49" customHeight="1">
      <c r="A80" s="4" t="s">
        <v>239</v>
      </c>
      <c r="B80" s="1">
        <v>1</v>
      </c>
      <c r="C80" s="1">
        <v>1</v>
      </c>
      <c r="D80" s="1" t="s">
        <v>241</v>
      </c>
      <c r="E80" s="1" t="s">
        <v>768</v>
      </c>
    </row>
    <row r="81" spans="1:5" ht="114" customHeight="1">
      <c r="A81" s="5" t="s">
        <v>244</v>
      </c>
      <c r="B81" s="3">
        <v>1</v>
      </c>
      <c r="C81" s="3">
        <v>2</v>
      </c>
      <c r="D81" s="3" t="s">
        <v>769</v>
      </c>
      <c r="E81" s="3" t="s">
        <v>770</v>
      </c>
    </row>
    <row r="82" spans="1:5" ht="38" customHeight="1">
      <c r="A82" s="4" t="s">
        <v>244</v>
      </c>
      <c r="B82" s="1">
        <v>2</v>
      </c>
      <c r="C82" s="1">
        <v>2</v>
      </c>
      <c r="D82" s="1" t="s">
        <v>771</v>
      </c>
      <c r="E82" s="1" t="s">
        <v>770</v>
      </c>
    </row>
    <row r="83" spans="1:5" ht="88" customHeight="1">
      <c r="A83" s="5" t="s">
        <v>247</v>
      </c>
      <c r="B83" s="3">
        <v>1</v>
      </c>
      <c r="C83" s="3">
        <v>1</v>
      </c>
      <c r="D83" s="3" t="s">
        <v>772</v>
      </c>
      <c r="E83" s="3" t="s">
        <v>773</v>
      </c>
    </row>
    <row r="84" spans="1:5" ht="38" customHeight="1">
      <c r="A84" s="4" t="s">
        <v>251</v>
      </c>
      <c r="B84" s="1">
        <v>1</v>
      </c>
      <c r="C84" s="1">
        <v>1</v>
      </c>
      <c r="D84" s="1" t="s">
        <v>253</v>
      </c>
      <c r="E84" s="1" t="s">
        <v>774</v>
      </c>
    </row>
    <row r="85" spans="1:5" ht="62" customHeight="1">
      <c r="A85" s="5" t="s">
        <v>256</v>
      </c>
      <c r="B85" s="3">
        <v>1</v>
      </c>
      <c r="C85" s="3">
        <v>1</v>
      </c>
      <c r="D85" s="3" t="s">
        <v>258</v>
      </c>
      <c r="E85" s="3" t="s">
        <v>775</v>
      </c>
    </row>
    <row r="86" spans="1:5" ht="114" customHeight="1">
      <c r="A86" s="4" t="s">
        <v>259</v>
      </c>
      <c r="B86" s="1">
        <v>1</v>
      </c>
      <c r="C86" s="1">
        <v>2</v>
      </c>
      <c r="D86" s="1" t="s">
        <v>776</v>
      </c>
      <c r="E86" s="1" t="s">
        <v>777</v>
      </c>
    </row>
    <row r="87" spans="1:5" ht="101" customHeight="1">
      <c r="A87" s="5" t="s">
        <v>259</v>
      </c>
      <c r="B87" s="3">
        <v>2</v>
      </c>
      <c r="C87" s="3">
        <v>2</v>
      </c>
      <c r="D87" s="3" t="s">
        <v>778</v>
      </c>
      <c r="E87" s="3" t="s">
        <v>777</v>
      </c>
    </row>
    <row r="88" spans="1:5" ht="88" customHeight="1">
      <c r="A88" s="4" t="s">
        <v>263</v>
      </c>
      <c r="B88" s="1">
        <v>1</v>
      </c>
      <c r="C88" s="1">
        <v>1</v>
      </c>
      <c r="D88" s="1" t="s">
        <v>779</v>
      </c>
      <c r="E88" s="1" t="s">
        <v>780</v>
      </c>
    </row>
    <row r="89" spans="1:5" ht="114" customHeight="1">
      <c r="A89" s="5" t="s">
        <v>268</v>
      </c>
      <c r="B89" s="3">
        <v>1</v>
      </c>
      <c r="C89" s="3">
        <v>2</v>
      </c>
      <c r="D89" s="3" t="s">
        <v>781</v>
      </c>
      <c r="E89" s="3" t="s">
        <v>782</v>
      </c>
    </row>
    <row r="90" spans="1:5" ht="75" customHeight="1">
      <c r="A90" s="4" t="s">
        <v>268</v>
      </c>
      <c r="B90" s="1">
        <v>2</v>
      </c>
      <c r="C90" s="1">
        <v>2</v>
      </c>
      <c r="D90" s="1" t="s">
        <v>783</v>
      </c>
      <c r="E90" s="1" t="s">
        <v>782</v>
      </c>
    </row>
    <row r="91" spans="1:5" ht="75" customHeight="1">
      <c r="A91" s="5" t="s">
        <v>271</v>
      </c>
      <c r="B91" s="3">
        <v>1</v>
      </c>
      <c r="C91" s="3">
        <v>1</v>
      </c>
      <c r="D91" s="3" t="s">
        <v>784</v>
      </c>
      <c r="E91" s="3" t="s">
        <v>785</v>
      </c>
    </row>
    <row r="92" spans="1:5" ht="62" customHeight="1">
      <c r="A92" s="4" t="s">
        <v>275</v>
      </c>
      <c r="B92" s="1">
        <v>1</v>
      </c>
      <c r="C92" s="1">
        <v>1</v>
      </c>
      <c r="D92" s="1" t="s">
        <v>277</v>
      </c>
      <c r="E92" s="1" t="s">
        <v>786</v>
      </c>
    </row>
    <row r="93" spans="1:5" ht="38" customHeight="1">
      <c r="A93" s="5" t="s">
        <v>280</v>
      </c>
      <c r="B93" s="3">
        <v>1</v>
      </c>
      <c r="C93" s="3">
        <v>1</v>
      </c>
      <c r="D93" s="3" t="s">
        <v>282</v>
      </c>
      <c r="E93" s="3" t="s">
        <v>787</v>
      </c>
    </row>
    <row r="94" spans="1:5" ht="75" customHeight="1">
      <c r="A94" s="4" t="s">
        <v>283</v>
      </c>
      <c r="B94" s="1">
        <v>1</v>
      </c>
      <c r="C94" s="1">
        <v>1</v>
      </c>
      <c r="D94" s="1" t="s">
        <v>788</v>
      </c>
      <c r="E94" s="1" t="s">
        <v>789</v>
      </c>
    </row>
    <row r="95" spans="1:5" ht="101" customHeight="1">
      <c r="A95" s="5" t="s">
        <v>287</v>
      </c>
      <c r="B95" s="3">
        <v>1</v>
      </c>
      <c r="C95" s="3">
        <v>1</v>
      </c>
      <c r="D95" s="3" t="s">
        <v>790</v>
      </c>
      <c r="E95" s="3" t="s">
        <v>791</v>
      </c>
    </row>
    <row r="96" spans="1:5" ht="75" customHeight="1">
      <c r="A96" s="4" t="s">
        <v>292</v>
      </c>
      <c r="B96" s="1">
        <v>1</v>
      </c>
      <c r="C96" s="1">
        <v>1</v>
      </c>
      <c r="D96" s="1" t="s">
        <v>792</v>
      </c>
      <c r="E96" s="1" t="s">
        <v>793</v>
      </c>
    </row>
    <row r="97" spans="1:5" ht="75" customHeight="1">
      <c r="A97" s="5" t="s">
        <v>295</v>
      </c>
      <c r="B97" s="3">
        <v>1</v>
      </c>
      <c r="C97" s="3">
        <v>1</v>
      </c>
      <c r="D97" s="3" t="s">
        <v>794</v>
      </c>
      <c r="E97" s="3" t="s">
        <v>795</v>
      </c>
    </row>
    <row r="98" spans="1:5" ht="62" customHeight="1">
      <c r="A98" s="4" t="s">
        <v>299</v>
      </c>
      <c r="B98" s="1">
        <v>1</v>
      </c>
      <c r="C98" s="1">
        <v>1</v>
      </c>
      <c r="D98" s="1" t="s">
        <v>301</v>
      </c>
      <c r="E98" s="1" t="s">
        <v>796</v>
      </c>
    </row>
    <row r="99" spans="1:5" ht="38" customHeight="1">
      <c r="A99" s="5" t="s">
        <v>304</v>
      </c>
      <c r="B99" s="3">
        <v>1</v>
      </c>
      <c r="C99" s="3">
        <v>1</v>
      </c>
      <c r="D99" s="3" t="s">
        <v>306</v>
      </c>
      <c r="E99" s="3" t="s">
        <v>797</v>
      </c>
    </row>
    <row r="100" spans="1:5" ht="114" customHeight="1">
      <c r="A100" s="4" t="s">
        <v>307</v>
      </c>
      <c r="B100" s="1">
        <v>1</v>
      </c>
      <c r="C100" s="1">
        <v>2</v>
      </c>
      <c r="D100" s="1" t="s">
        <v>798</v>
      </c>
      <c r="E100" s="1" t="s">
        <v>799</v>
      </c>
    </row>
    <row r="101" spans="1:5" ht="101" customHeight="1">
      <c r="A101" s="5" t="s">
        <v>307</v>
      </c>
      <c r="B101" s="3">
        <v>2</v>
      </c>
      <c r="C101" s="3">
        <v>2</v>
      </c>
      <c r="D101" s="3" t="s">
        <v>800</v>
      </c>
      <c r="E101" s="3" t="s">
        <v>799</v>
      </c>
    </row>
    <row r="102" spans="1:5" ht="38" customHeight="1">
      <c r="A102" s="4" t="s">
        <v>311</v>
      </c>
      <c r="B102" s="1">
        <v>1</v>
      </c>
      <c r="C102" s="1">
        <v>1</v>
      </c>
      <c r="D102" s="1" t="s">
        <v>313</v>
      </c>
      <c r="E102" s="1" t="s">
        <v>801</v>
      </c>
    </row>
    <row r="103" spans="1:5" ht="38" customHeight="1">
      <c r="A103" s="5" t="s">
        <v>316</v>
      </c>
      <c r="B103" s="3">
        <v>1</v>
      </c>
      <c r="C103" s="3">
        <v>1</v>
      </c>
      <c r="D103" s="3" t="s">
        <v>318</v>
      </c>
      <c r="E103" s="3" t="s">
        <v>802</v>
      </c>
    </row>
    <row r="104" spans="1:5" ht="75" customHeight="1">
      <c r="A104" s="4" t="s">
        <v>319</v>
      </c>
      <c r="B104" s="1">
        <v>1</v>
      </c>
      <c r="C104" s="1">
        <v>1</v>
      </c>
      <c r="D104" s="1" t="s">
        <v>803</v>
      </c>
      <c r="E104" s="1" t="s">
        <v>804</v>
      </c>
    </row>
    <row r="105" spans="1:5" ht="114" customHeight="1">
      <c r="A105" s="5" t="s">
        <v>323</v>
      </c>
      <c r="B105" s="3">
        <v>1</v>
      </c>
      <c r="C105" s="3">
        <v>3</v>
      </c>
      <c r="D105" s="3" t="s">
        <v>805</v>
      </c>
      <c r="E105" s="3" t="s">
        <v>806</v>
      </c>
    </row>
    <row r="106" spans="1:5" ht="114" customHeight="1">
      <c r="A106" s="4" t="s">
        <v>323</v>
      </c>
      <c r="B106" s="1">
        <v>2</v>
      </c>
      <c r="C106" s="1">
        <v>3</v>
      </c>
      <c r="D106" s="1" t="s">
        <v>807</v>
      </c>
      <c r="E106" s="1" t="s">
        <v>806</v>
      </c>
    </row>
    <row r="107" spans="1:5" ht="62" customHeight="1">
      <c r="A107" s="5" t="s">
        <v>323</v>
      </c>
      <c r="B107" s="3">
        <v>3</v>
      </c>
      <c r="C107" s="3">
        <v>3</v>
      </c>
      <c r="D107" s="3" t="s">
        <v>808</v>
      </c>
      <c r="E107" s="3" t="s">
        <v>806</v>
      </c>
    </row>
    <row r="108" spans="1:5" ht="114" customHeight="1">
      <c r="A108" s="4" t="s">
        <v>328</v>
      </c>
      <c r="B108" s="1">
        <v>1</v>
      </c>
      <c r="C108" s="1">
        <v>2</v>
      </c>
      <c r="D108" s="1" t="s">
        <v>809</v>
      </c>
      <c r="E108" s="1" t="s">
        <v>810</v>
      </c>
    </row>
    <row r="109" spans="1:5" ht="49" customHeight="1">
      <c r="A109" s="5" t="s">
        <v>328</v>
      </c>
      <c r="B109" s="3">
        <v>2</v>
      </c>
      <c r="C109" s="3">
        <v>2</v>
      </c>
      <c r="D109" s="3" t="s">
        <v>811</v>
      </c>
      <c r="E109" s="3" t="s">
        <v>810</v>
      </c>
    </row>
    <row r="110" spans="1:5" ht="88" customHeight="1">
      <c r="A110" s="4" t="s">
        <v>331</v>
      </c>
      <c r="B110" s="1">
        <v>1</v>
      </c>
      <c r="C110" s="1">
        <v>1</v>
      </c>
      <c r="D110" s="1" t="s">
        <v>812</v>
      </c>
      <c r="E110" s="1" t="s">
        <v>813</v>
      </c>
    </row>
    <row r="111" spans="1:5" ht="62" customHeight="1">
      <c r="A111" s="5" t="s">
        <v>335</v>
      </c>
      <c r="B111" s="3">
        <v>1</v>
      </c>
      <c r="C111" s="3">
        <v>1</v>
      </c>
      <c r="D111" s="3" t="s">
        <v>814</v>
      </c>
      <c r="E111" s="3" t="s">
        <v>815</v>
      </c>
    </row>
    <row r="112" spans="1:5" ht="62" customHeight="1">
      <c r="A112" s="4" t="s">
        <v>340</v>
      </c>
      <c r="B112" s="1">
        <v>1</v>
      </c>
      <c r="C112" s="1">
        <v>1</v>
      </c>
      <c r="D112" s="1" t="s">
        <v>816</v>
      </c>
      <c r="E112" s="1" t="s">
        <v>817</v>
      </c>
    </row>
    <row r="113" spans="1:5" ht="62" customHeight="1">
      <c r="A113" s="5" t="s">
        <v>343</v>
      </c>
      <c r="B113" s="3">
        <v>1</v>
      </c>
      <c r="C113" s="3">
        <v>1</v>
      </c>
      <c r="D113" s="3" t="s">
        <v>818</v>
      </c>
      <c r="E113" s="3" t="s">
        <v>819</v>
      </c>
    </row>
    <row r="114" spans="1:5" ht="114" customHeight="1">
      <c r="A114" s="4" t="s">
        <v>347</v>
      </c>
      <c r="B114" s="1">
        <v>1</v>
      </c>
      <c r="C114" s="1">
        <v>12</v>
      </c>
      <c r="D114" s="1" t="s">
        <v>820</v>
      </c>
      <c r="E114" s="1" t="s">
        <v>821</v>
      </c>
    </row>
    <row r="115" spans="1:5" ht="114" customHeight="1">
      <c r="A115" s="5" t="s">
        <v>347</v>
      </c>
      <c r="B115" s="3">
        <v>2</v>
      </c>
      <c r="C115" s="3">
        <v>12</v>
      </c>
      <c r="D115" s="3" t="s">
        <v>822</v>
      </c>
      <c r="E115" s="3" t="s">
        <v>821</v>
      </c>
    </row>
    <row r="116" spans="1:5" ht="114" customHeight="1">
      <c r="A116" s="4" t="s">
        <v>347</v>
      </c>
      <c r="B116" s="1">
        <v>3</v>
      </c>
      <c r="C116" s="1">
        <v>12</v>
      </c>
      <c r="D116" s="1" t="s">
        <v>823</v>
      </c>
      <c r="E116" s="1" t="s">
        <v>821</v>
      </c>
    </row>
    <row r="117" spans="1:5" ht="114" customHeight="1">
      <c r="A117" s="5" t="s">
        <v>347</v>
      </c>
      <c r="B117" s="3">
        <v>4</v>
      </c>
      <c r="C117" s="3">
        <v>12</v>
      </c>
      <c r="D117" s="3" t="s">
        <v>824</v>
      </c>
      <c r="E117" s="3" t="s">
        <v>821</v>
      </c>
    </row>
    <row r="118" spans="1:5" ht="114" customHeight="1">
      <c r="A118" s="4" t="s">
        <v>347</v>
      </c>
      <c r="B118" s="1">
        <v>5</v>
      </c>
      <c r="C118" s="1">
        <v>12</v>
      </c>
      <c r="D118" s="1" t="s">
        <v>825</v>
      </c>
      <c r="E118" s="1" t="s">
        <v>821</v>
      </c>
    </row>
    <row r="119" spans="1:5" ht="114" customHeight="1">
      <c r="A119" s="5" t="s">
        <v>347</v>
      </c>
      <c r="B119" s="3">
        <v>6</v>
      </c>
      <c r="C119" s="3">
        <v>12</v>
      </c>
      <c r="D119" s="3" t="s">
        <v>826</v>
      </c>
      <c r="E119" s="3" t="s">
        <v>821</v>
      </c>
    </row>
    <row r="120" spans="1:5" ht="114" customHeight="1">
      <c r="A120" s="4" t="s">
        <v>347</v>
      </c>
      <c r="B120" s="1">
        <v>7</v>
      </c>
      <c r="C120" s="1">
        <v>12</v>
      </c>
      <c r="D120" s="1" t="s">
        <v>827</v>
      </c>
      <c r="E120" s="1" t="s">
        <v>821</v>
      </c>
    </row>
    <row r="121" spans="1:5" ht="114" customHeight="1">
      <c r="A121" s="5" t="s">
        <v>347</v>
      </c>
      <c r="B121" s="3">
        <v>8</v>
      </c>
      <c r="C121" s="3">
        <v>12</v>
      </c>
      <c r="D121" s="3" t="s">
        <v>828</v>
      </c>
      <c r="E121" s="3" t="s">
        <v>821</v>
      </c>
    </row>
    <row r="122" spans="1:5" ht="114" customHeight="1">
      <c r="A122" s="4" t="s">
        <v>347</v>
      </c>
      <c r="B122" s="1">
        <v>9</v>
      </c>
      <c r="C122" s="1">
        <v>12</v>
      </c>
      <c r="D122" s="1" t="s">
        <v>829</v>
      </c>
      <c r="E122" s="1" t="s">
        <v>821</v>
      </c>
    </row>
    <row r="123" spans="1:5" ht="114" customHeight="1">
      <c r="A123" s="5" t="s">
        <v>347</v>
      </c>
      <c r="B123" s="3">
        <v>10</v>
      </c>
      <c r="C123" s="3">
        <v>12</v>
      </c>
      <c r="D123" s="3" t="s">
        <v>830</v>
      </c>
      <c r="E123" s="3" t="s">
        <v>821</v>
      </c>
    </row>
    <row r="124" spans="1:5" ht="114" customHeight="1">
      <c r="A124" s="4" t="s">
        <v>347</v>
      </c>
      <c r="B124" s="1">
        <v>11</v>
      </c>
      <c r="C124" s="1">
        <v>12</v>
      </c>
      <c r="D124" s="1" t="s">
        <v>831</v>
      </c>
      <c r="E124" s="1" t="s">
        <v>821</v>
      </c>
    </row>
    <row r="125" spans="1:5" ht="101" customHeight="1">
      <c r="A125" s="5" t="s">
        <v>347</v>
      </c>
      <c r="B125" s="3">
        <v>12</v>
      </c>
      <c r="C125" s="3">
        <v>12</v>
      </c>
      <c r="D125" s="3" t="s">
        <v>832</v>
      </c>
      <c r="E125" s="3" t="s">
        <v>821</v>
      </c>
    </row>
    <row r="126" spans="1:5" ht="101" customHeight="1">
      <c r="A126" s="4" t="s">
        <v>352</v>
      </c>
      <c r="B126" s="1">
        <v>1</v>
      </c>
      <c r="C126" s="1">
        <v>1</v>
      </c>
      <c r="D126" s="1" t="s">
        <v>833</v>
      </c>
      <c r="E126" s="1" t="s">
        <v>834</v>
      </c>
    </row>
    <row r="127" spans="1:5" ht="88" customHeight="1">
      <c r="A127" s="5" t="s">
        <v>355</v>
      </c>
      <c r="B127" s="3">
        <v>1</v>
      </c>
      <c r="C127" s="3">
        <v>1</v>
      </c>
      <c r="D127" s="3" t="s">
        <v>835</v>
      </c>
      <c r="E127" s="3" t="s">
        <v>836</v>
      </c>
    </row>
    <row r="128" spans="1:5" ht="114" customHeight="1">
      <c r="A128" s="4" t="s">
        <v>359</v>
      </c>
      <c r="B128" s="1">
        <v>1</v>
      </c>
      <c r="C128" s="1">
        <v>2</v>
      </c>
      <c r="D128" s="1" t="s">
        <v>837</v>
      </c>
      <c r="E128" s="1" t="s">
        <v>838</v>
      </c>
    </row>
    <row r="129" spans="1:5" ht="75" customHeight="1">
      <c r="A129" s="5" t="s">
        <v>359</v>
      </c>
      <c r="B129" s="3">
        <v>2</v>
      </c>
      <c r="C129" s="3">
        <v>2</v>
      </c>
      <c r="D129" s="3" t="s">
        <v>839</v>
      </c>
      <c r="E129" s="3" t="s">
        <v>838</v>
      </c>
    </row>
    <row r="130" spans="1:5" ht="75" customHeight="1">
      <c r="A130" s="4" t="s">
        <v>364</v>
      </c>
      <c r="B130" s="1">
        <v>1</v>
      </c>
      <c r="C130" s="1">
        <v>1</v>
      </c>
      <c r="D130" s="1" t="s">
        <v>840</v>
      </c>
      <c r="E130" s="1" t="s">
        <v>841</v>
      </c>
    </row>
    <row r="131" spans="1:5" ht="114" customHeight="1">
      <c r="A131" s="5" t="s">
        <v>367</v>
      </c>
      <c r="B131" s="3">
        <v>1</v>
      </c>
      <c r="C131" s="3">
        <v>2</v>
      </c>
      <c r="D131" s="3" t="s">
        <v>842</v>
      </c>
      <c r="E131" s="3" t="s">
        <v>843</v>
      </c>
    </row>
    <row r="132" spans="1:5" ht="62" customHeight="1">
      <c r="A132" s="4" t="s">
        <v>367</v>
      </c>
      <c r="B132" s="1">
        <v>2</v>
      </c>
      <c r="C132" s="1">
        <v>2</v>
      </c>
      <c r="D132" s="1" t="s">
        <v>844</v>
      </c>
      <c r="E132" s="1" t="s">
        <v>843</v>
      </c>
    </row>
    <row r="133" spans="1:5" ht="114" customHeight="1">
      <c r="A133" s="5" t="s">
        <v>371</v>
      </c>
      <c r="B133" s="3">
        <v>1</v>
      </c>
      <c r="C133" s="3">
        <v>2</v>
      </c>
      <c r="D133" s="3" t="s">
        <v>845</v>
      </c>
      <c r="E133" s="3" t="s">
        <v>846</v>
      </c>
    </row>
    <row r="134" spans="1:5" ht="38" customHeight="1">
      <c r="A134" s="4" t="s">
        <v>371</v>
      </c>
      <c r="B134" s="1">
        <v>2</v>
      </c>
      <c r="C134" s="1">
        <v>2</v>
      </c>
      <c r="D134" s="1" t="s">
        <v>847</v>
      </c>
      <c r="E134" s="1" t="s">
        <v>846</v>
      </c>
    </row>
    <row r="135" spans="1:5" ht="75" customHeight="1">
      <c r="A135" s="5" t="s">
        <v>375</v>
      </c>
      <c r="B135" s="3">
        <v>1</v>
      </c>
      <c r="C135" s="3">
        <v>1</v>
      </c>
      <c r="D135" s="3" t="s">
        <v>848</v>
      </c>
      <c r="E135" s="3" t="s">
        <v>849</v>
      </c>
    </row>
    <row r="136" spans="1:5" ht="75" customHeight="1">
      <c r="A136" s="4" t="s">
        <v>378</v>
      </c>
      <c r="B136" s="1">
        <v>1</v>
      </c>
      <c r="C136" s="1">
        <v>1</v>
      </c>
      <c r="D136" s="1" t="s">
        <v>850</v>
      </c>
      <c r="E136" s="1" t="s">
        <v>851</v>
      </c>
    </row>
    <row r="137" spans="1:5" ht="49" customHeight="1">
      <c r="A137" s="5" t="s">
        <v>382</v>
      </c>
      <c r="B137" s="3">
        <v>1</v>
      </c>
      <c r="C137" s="3">
        <v>1</v>
      </c>
      <c r="D137" s="3" t="s">
        <v>384</v>
      </c>
      <c r="E137" s="3" t="s">
        <v>852</v>
      </c>
    </row>
    <row r="138" spans="1:5" ht="62" customHeight="1">
      <c r="A138" s="4" t="s">
        <v>387</v>
      </c>
      <c r="B138" s="1">
        <v>1</v>
      </c>
      <c r="C138" s="1">
        <v>1</v>
      </c>
      <c r="D138" s="1" t="s">
        <v>853</v>
      </c>
      <c r="E138" s="1" t="s">
        <v>854</v>
      </c>
    </row>
    <row r="139" spans="1:5" ht="114" customHeight="1">
      <c r="A139" s="5" t="s">
        <v>392</v>
      </c>
      <c r="B139" s="3">
        <v>1</v>
      </c>
      <c r="C139" s="3">
        <v>2</v>
      </c>
      <c r="D139" s="3" t="s">
        <v>855</v>
      </c>
      <c r="E139" s="3" t="s">
        <v>856</v>
      </c>
    </row>
    <row r="140" spans="1:5" ht="49" customHeight="1">
      <c r="A140" s="4" t="s">
        <v>392</v>
      </c>
      <c r="B140" s="1">
        <v>2</v>
      </c>
      <c r="C140" s="1">
        <v>2</v>
      </c>
      <c r="D140" s="1" t="s">
        <v>857</v>
      </c>
      <c r="E140" s="1" t="s">
        <v>856</v>
      </c>
    </row>
    <row r="141" spans="1:5" ht="114" customHeight="1">
      <c r="A141" s="5" t="s">
        <v>397</v>
      </c>
      <c r="B141" s="3">
        <v>1</v>
      </c>
      <c r="C141" s="3">
        <v>2</v>
      </c>
      <c r="D141" s="3" t="s">
        <v>858</v>
      </c>
      <c r="E141" s="3" t="s">
        <v>859</v>
      </c>
    </row>
    <row r="142" spans="1:5" ht="49" customHeight="1">
      <c r="A142" s="4" t="s">
        <v>397</v>
      </c>
      <c r="B142" s="1">
        <v>2</v>
      </c>
      <c r="C142" s="1">
        <v>2</v>
      </c>
      <c r="D142" s="1" t="s">
        <v>860</v>
      </c>
      <c r="E142" s="1" t="s">
        <v>859</v>
      </c>
    </row>
    <row r="143" spans="1:5" ht="114" customHeight="1">
      <c r="A143" s="5" t="s">
        <v>400</v>
      </c>
      <c r="B143" s="3">
        <v>1</v>
      </c>
      <c r="C143" s="3">
        <v>5</v>
      </c>
      <c r="D143" s="3" t="s">
        <v>861</v>
      </c>
      <c r="E143" s="3" t="s">
        <v>862</v>
      </c>
    </row>
    <row r="144" spans="1:5" ht="114" customHeight="1">
      <c r="A144" s="4" t="s">
        <v>400</v>
      </c>
      <c r="B144" s="1">
        <v>2</v>
      </c>
      <c r="C144" s="1">
        <v>5</v>
      </c>
      <c r="D144" s="1" t="s">
        <v>863</v>
      </c>
      <c r="E144" s="1" t="s">
        <v>862</v>
      </c>
    </row>
    <row r="145" spans="1:5" ht="114" customHeight="1">
      <c r="A145" s="5" t="s">
        <v>400</v>
      </c>
      <c r="B145" s="3">
        <v>3</v>
      </c>
      <c r="C145" s="3">
        <v>5</v>
      </c>
      <c r="D145" s="3" t="s">
        <v>864</v>
      </c>
      <c r="E145" s="3" t="s">
        <v>862</v>
      </c>
    </row>
    <row r="146" spans="1:5" ht="114" customHeight="1">
      <c r="A146" s="4" t="s">
        <v>400</v>
      </c>
      <c r="B146" s="1">
        <v>4</v>
      </c>
      <c r="C146" s="1">
        <v>5</v>
      </c>
      <c r="D146" s="1" t="s">
        <v>865</v>
      </c>
      <c r="E146" s="1" t="s">
        <v>862</v>
      </c>
    </row>
    <row r="147" spans="1:5" ht="49" customHeight="1">
      <c r="A147" s="5" t="s">
        <v>400</v>
      </c>
      <c r="B147" s="3">
        <v>5</v>
      </c>
      <c r="C147" s="3">
        <v>5</v>
      </c>
      <c r="D147" s="3" t="s">
        <v>866</v>
      </c>
      <c r="E147" s="3" t="s">
        <v>862</v>
      </c>
    </row>
    <row r="148" spans="1:5" ht="114" customHeight="1">
      <c r="A148" s="4" t="s">
        <v>404</v>
      </c>
      <c r="B148" s="1">
        <v>1</v>
      </c>
      <c r="C148" s="1">
        <v>1</v>
      </c>
      <c r="D148" s="1" t="s">
        <v>867</v>
      </c>
      <c r="E148" s="1" t="s">
        <v>868</v>
      </c>
    </row>
    <row r="149" spans="1:5" ht="114" customHeight="1">
      <c r="A149" s="5" t="s">
        <v>409</v>
      </c>
      <c r="B149" s="3">
        <v>1</v>
      </c>
      <c r="C149" s="3">
        <v>4</v>
      </c>
      <c r="D149" s="3" t="s">
        <v>869</v>
      </c>
      <c r="E149" s="3" t="s">
        <v>870</v>
      </c>
    </row>
    <row r="150" spans="1:5" ht="114" customHeight="1">
      <c r="A150" s="4" t="s">
        <v>409</v>
      </c>
      <c r="B150" s="1">
        <v>2</v>
      </c>
      <c r="C150" s="1">
        <v>4</v>
      </c>
      <c r="D150" s="1" t="s">
        <v>871</v>
      </c>
      <c r="E150" s="1" t="s">
        <v>870</v>
      </c>
    </row>
    <row r="151" spans="1:5" ht="114" customHeight="1">
      <c r="A151" s="5" t="s">
        <v>409</v>
      </c>
      <c r="B151" s="3">
        <v>3</v>
      </c>
      <c r="C151" s="3">
        <v>4</v>
      </c>
      <c r="D151" s="3" t="s">
        <v>872</v>
      </c>
      <c r="E151" s="3" t="s">
        <v>870</v>
      </c>
    </row>
    <row r="152" spans="1:5" ht="75" customHeight="1">
      <c r="A152" s="4" t="s">
        <v>409</v>
      </c>
      <c r="B152" s="1">
        <v>4</v>
      </c>
      <c r="C152" s="1">
        <v>4</v>
      </c>
      <c r="D152" s="1" t="s">
        <v>873</v>
      </c>
      <c r="E152" s="1" t="s">
        <v>870</v>
      </c>
    </row>
    <row r="153" spans="1:5" ht="75" customHeight="1">
      <c r="A153" s="5" t="s">
        <v>412</v>
      </c>
      <c r="B153" s="3">
        <v>1</v>
      </c>
      <c r="C153" s="3">
        <v>1</v>
      </c>
      <c r="D153" s="3" t="s">
        <v>874</v>
      </c>
      <c r="E153" s="3" t="s">
        <v>875</v>
      </c>
    </row>
    <row r="154" spans="1:5" ht="114" customHeight="1">
      <c r="A154" s="4" t="s">
        <v>416</v>
      </c>
      <c r="B154" s="1">
        <v>1</v>
      </c>
      <c r="C154" s="1">
        <v>3</v>
      </c>
      <c r="D154" s="1" t="s">
        <v>876</v>
      </c>
      <c r="E154" s="1" t="s">
        <v>877</v>
      </c>
    </row>
    <row r="155" spans="1:5" ht="114" customHeight="1">
      <c r="A155" s="5" t="s">
        <v>416</v>
      </c>
      <c r="B155" s="3">
        <v>2</v>
      </c>
      <c r="C155" s="3">
        <v>3</v>
      </c>
      <c r="D155" s="3" t="s">
        <v>878</v>
      </c>
      <c r="E155" s="3" t="s">
        <v>877</v>
      </c>
    </row>
    <row r="156" spans="1:5" ht="114" customHeight="1">
      <c r="A156" s="4" t="s">
        <v>416</v>
      </c>
      <c r="B156" s="1">
        <v>3</v>
      </c>
      <c r="C156" s="1">
        <v>3</v>
      </c>
      <c r="D156" s="1" t="s">
        <v>879</v>
      </c>
      <c r="E156" s="1" t="s">
        <v>877</v>
      </c>
    </row>
    <row r="157" spans="1:5" ht="114" customHeight="1">
      <c r="A157" s="5" t="s">
        <v>421</v>
      </c>
      <c r="B157" s="3">
        <v>1</v>
      </c>
      <c r="C157" s="3">
        <v>2</v>
      </c>
      <c r="D157" s="3" t="s">
        <v>880</v>
      </c>
      <c r="E157" s="3" t="s">
        <v>881</v>
      </c>
    </row>
    <row r="158" spans="1:5" ht="75" customHeight="1">
      <c r="A158" s="4" t="s">
        <v>421</v>
      </c>
      <c r="B158" s="1">
        <v>2</v>
      </c>
      <c r="C158" s="1">
        <v>2</v>
      </c>
      <c r="D158" s="1" t="s">
        <v>882</v>
      </c>
      <c r="E158" s="1" t="s">
        <v>881</v>
      </c>
    </row>
    <row r="159" spans="1:5" ht="75" customHeight="1">
      <c r="A159" s="5" t="s">
        <v>424</v>
      </c>
      <c r="B159" s="3">
        <v>1</v>
      </c>
      <c r="C159" s="3">
        <v>1</v>
      </c>
      <c r="D159" s="3" t="s">
        <v>883</v>
      </c>
      <c r="E159" s="3" t="s">
        <v>884</v>
      </c>
    </row>
    <row r="160" spans="1:5" ht="114" customHeight="1">
      <c r="A160" s="4" t="s">
        <v>428</v>
      </c>
      <c r="B160" s="1">
        <v>1</v>
      </c>
      <c r="C160" s="1">
        <v>2</v>
      </c>
      <c r="D160" s="1" t="s">
        <v>885</v>
      </c>
      <c r="E160" s="1" t="s">
        <v>886</v>
      </c>
    </row>
    <row r="161" spans="1:5" ht="62" customHeight="1">
      <c r="A161" s="5" t="s">
        <v>428</v>
      </c>
      <c r="B161" s="3">
        <v>2</v>
      </c>
      <c r="C161" s="3">
        <v>2</v>
      </c>
      <c r="D161" s="3" t="s">
        <v>887</v>
      </c>
      <c r="E161" s="3" t="s">
        <v>886</v>
      </c>
    </row>
    <row r="162" spans="1:5" ht="75" customHeight="1">
      <c r="A162" s="4" t="s">
        <v>433</v>
      </c>
      <c r="B162" s="1">
        <v>1</v>
      </c>
      <c r="C162" s="1">
        <v>1</v>
      </c>
      <c r="D162" s="1" t="s">
        <v>888</v>
      </c>
      <c r="E162" s="1" t="s">
        <v>889</v>
      </c>
    </row>
    <row r="163" spans="1:5" ht="88" customHeight="1">
      <c r="A163" s="5" t="s">
        <v>436</v>
      </c>
      <c r="B163" s="3">
        <v>1</v>
      </c>
      <c r="C163" s="3">
        <v>1</v>
      </c>
      <c r="D163" s="3" t="s">
        <v>890</v>
      </c>
      <c r="E163" s="3" t="s">
        <v>891</v>
      </c>
    </row>
    <row r="164" spans="1:5" ht="38" customHeight="1">
      <c r="A164" s="4" t="s">
        <v>440</v>
      </c>
      <c r="B164" s="1">
        <v>1</v>
      </c>
      <c r="C164" s="1">
        <v>1</v>
      </c>
      <c r="D164" s="1" t="s">
        <v>442</v>
      </c>
      <c r="E164" s="1" t="s">
        <v>892</v>
      </c>
    </row>
    <row r="165" spans="1:5" ht="114" customHeight="1">
      <c r="A165" s="5" t="s">
        <v>446</v>
      </c>
      <c r="B165" s="3">
        <v>1</v>
      </c>
      <c r="C165" s="3">
        <v>2</v>
      </c>
      <c r="D165" s="3" t="s">
        <v>893</v>
      </c>
      <c r="E165" s="3" t="s">
        <v>894</v>
      </c>
    </row>
    <row r="166" spans="1:5" ht="49" customHeight="1">
      <c r="A166" s="4" t="s">
        <v>446</v>
      </c>
      <c r="B166" s="1">
        <v>2</v>
      </c>
      <c r="C166" s="1">
        <v>2</v>
      </c>
      <c r="D166" s="1" t="s">
        <v>895</v>
      </c>
      <c r="E166" s="1" t="s">
        <v>894</v>
      </c>
    </row>
    <row r="167" spans="1:5" ht="101" customHeight="1">
      <c r="A167" s="5" t="s">
        <v>450</v>
      </c>
      <c r="B167" s="3">
        <v>1</v>
      </c>
      <c r="C167" s="3">
        <v>1</v>
      </c>
      <c r="D167" s="3" t="s">
        <v>896</v>
      </c>
      <c r="E167" s="3" t="s">
        <v>897</v>
      </c>
    </row>
    <row r="168" spans="1:5" ht="38" customHeight="1">
      <c r="A168" s="4" t="s">
        <v>455</v>
      </c>
      <c r="B168" s="1">
        <v>1</v>
      </c>
      <c r="C168" s="1">
        <v>1</v>
      </c>
      <c r="D168" s="1" t="s">
        <v>457</v>
      </c>
      <c r="E168" s="1" t="s">
        <v>898</v>
      </c>
    </row>
    <row r="169" spans="1:5" ht="62" customHeight="1">
      <c r="A169" s="5" t="s">
        <v>458</v>
      </c>
      <c r="B169" s="3">
        <v>1</v>
      </c>
      <c r="C169" s="3">
        <v>1</v>
      </c>
      <c r="D169" s="3" t="s">
        <v>899</v>
      </c>
      <c r="E169" s="3" t="s">
        <v>900</v>
      </c>
    </row>
    <row r="170" spans="1:5" ht="49" customHeight="1">
      <c r="A170" s="4" t="s">
        <v>462</v>
      </c>
      <c r="B170" s="1">
        <v>1</v>
      </c>
      <c r="C170" s="1">
        <v>1</v>
      </c>
      <c r="D170" s="1" t="s">
        <v>464</v>
      </c>
      <c r="E170" s="1" t="s">
        <v>901</v>
      </c>
    </row>
    <row r="171" spans="1:5" ht="88" customHeight="1">
      <c r="A171" s="5" t="s">
        <v>473</v>
      </c>
      <c r="B171" s="3">
        <v>1</v>
      </c>
      <c r="C171" s="3">
        <v>1</v>
      </c>
      <c r="D171" s="3" t="s">
        <v>902</v>
      </c>
      <c r="E171" s="3" t="s">
        <v>903</v>
      </c>
    </row>
    <row r="172" spans="1:5" ht="101" customHeight="1">
      <c r="A172" s="4" t="s">
        <v>476</v>
      </c>
      <c r="B172" s="1">
        <v>1</v>
      </c>
      <c r="C172" s="1">
        <v>1</v>
      </c>
      <c r="D172" s="1" t="s">
        <v>904</v>
      </c>
      <c r="E172" s="1" t="s">
        <v>905</v>
      </c>
    </row>
    <row r="173" spans="1:5" ht="88" customHeight="1">
      <c r="A173" s="5" t="s">
        <v>487</v>
      </c>
      <c r="B173" s="3">
        <v>1</v>
      </c>
      <c r="C173" s="3">
        <v>1</v>
      </c>
      <c r="D173" s="3" t="s">
        <v>906</v>
      </c>
      <c r="E173" s="3" t="s">
        <v>907</v>
      </c>
    </row>
    <row r="174" spans="1:5" ht="75" customHeight="1">
      <c r="A174" s="4" t="s">
        <v>490</v>
      </c>
      <c r="B174" s="1">
        <v>1</v>
      </c>
      <c r="C174" s="1">
        <v>1</v>
      </c>
      <c r="D174" s="1" t="s">
        <v>908</v>
      </c>
      <c r="E174" s="1" t="s">
        <v>909</v>
      </c>
    </row>
    <row r="175" spans="1:5" ht="88" customHeight="1">
      <c r="A175" s="5" t="s">
        <v>496</v>
      </c>
      <c r="B175" s="3">
        <v>1</v>
      </c>
      <c r="C175" s="3">
        <v>1</v>
      </c>
      <c r="D175" s="3" t="s">
        <v>910</v>
      </c>
      <c r="E175" s="3" t="s">
        <v>911</v>
      </c>
    </row>
    <row r="176" spans="1:5" ht="49" customHeight="1">
      <c r="A176" s="4" t="s">
        <v>499</v>
      </c>
      <c r="B176" s="1">
        <v>1</v>
      </c>
      <c r="C176" s="1">
        <v>1</v>
      </c>
      <c r="D176" s="1" t="s">
        <v>501</v>
      </c>
      <c r="E176" s="1" t="s">
        <v>912</v>
      </c>
    </row>
    <row r="177" spans="1:5" ht="38" customHeight="1">
      <c r="A177" s="5" t="s">
        <v>513</v>
      </c>
      <c r="B177" s="3">
        <v>1</v>
      </c>
      <c r="C177" s="3">
        <v>1</v>
      </c>
      <c r="D177" s="3" t="s">
        <v>515</v>
      </c>
      <c r="E177" s="3" t="s">
        <v>913</v>
      </c>
    </row>
    <row r="178" spans="1:5" ht="38" customHeight="1">
      <c r="A178" s="4" t="s">
        <v>517</v>
      </c>
      <c r="B178" s="1">
        <v>1</v>
      </c>
      <c r="C178" s="1">
        <v>1</v>
      </c>
      <c r="D178" s="1" t="s">
        <v>519</v>
      </c>
      <c r="E178" s="1" t="s">
        <v>914</v>
      </c>
    </row>
    <row r="179" spans="1:5" ht="62" customHeight="1">
      <c r="A179" s="5" t="s">
        <v>522</v>
      </c>
      <c r="B179" s="3">
        <v>1</v>
      </c>
      <c r="C179" s="3">
        <v>1</v>
      </c>
      <c r="D179" s="3" t="s">
        <v>915</v>
      </c>
      <c r="E179" s="3" t="s">
        <v>916</v>
      </c>
    </row>
    <row r="180" spans="1:5" ht="88" customHeight="1">
      <c r="A180" s="4" t="s">
        <v>527</v>
      </c>
      <c r="B180" s="1">
        <v>1</v>
      </c>
      <c r="C180" s="1">
        <v>1</v>
      </c>
      <c r="D180" s="1" t="s">
        <v>917</v>
      </c>
      <c r="E180" s="1" t="s">
        <v>918</v>
      </c>
    </row>
    <row r="181" spans="1:5" ht="101" customHeight="1">
      <c r="A181" s="5" t="s">
        <v>532</v>
      </c>
      <c r="B181" s="3">
        <v>1</v>
      </c>
      <c r="C181" s="3">
        <v>1</v>
      </c>
      <c r="D181" s="3" t="s">
        <v>919</v>
      </c>
      <c r="E181" s="3" t="s">
        <v>920</v>
      </c>
    </row>
    <row r="182" spans="1:5" ht="101" customHeight="1">
      <c r="A182" s="4" t="s">
        <v>535</v>
      </c>
      <c r="B182" s="1">
        <v>1</v>
      </c>
      <c r="C182" s="1">
        <v>1</v>
      </c>
      <c r="D182" s="1" t="s">
        <v>921</v>
      </c>
      <c r="E182" s="1" t="s">
        <v>922</v>
      </c>
    </row>
    <row r="183" spans="1:5" ht="88" customHeight="1">
      <c r="A183" s="5" t="s">
        <v>538</v>
      </c>
      <c r="B183" s="3">
        <v>1</v>
      </c>
      <c r="C183" s="3">
        <v>1</v>
      </c>
      <c r="D183" s="3" t="s">
        <v>923</v>
      </c>
      <c r="E183" s="3" t="s">
        <v>924</v>
      </c>
    </row>
    <row r="184" spans="1:5" ht="88" customHeight="1">
      <c r="A184" s="4" t="s">
        <v>543</v>
      </c>
      <c r="B184" s="1">
        <v>1</v>
      </c>
      <c r="C184" s="1">
        <v>1</v>
      </c>
      <c r="D184" s="1" t="s">
        <v>925</v>
      </c>
      <c r="E184" s="1" t="s">
        <v>926</v>
      </c>
    </row>
    <row r="185" spans="1:5" ht="88" customHeight="1">
      <c r="A185" s="5" t="s">
        <v>546</v>
      </c>
      <c r="B185" s="3">
        <v>1</v>
      </c>
      <c r="C185" s="3">
        <v>1</v>
      </c>
      <c r="D185" s="3" t="s">
        <v>923</v>
      </c>
      <c r="E185" s="3" t="s">
        <v>927</v>
      </c>
    </row>
  </sheetData>
  <mergeCells count="3">
    <mergeCell ref="A1:E1"/>
    <mergeCell ref="A2:E2"/>
    <mergeCell ref="A3:E3"/>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Review</vt:lpstr>
      <vt:lpstr>Topics</vt:lpstr>
      <vt:lpstr>Complaints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Willie Pretorius</dc:creator>
  <cp:lastModifiedBy>Wilhelmus Pretorius</cp:lastModifiedBy>
  <dcterms:created xsi:type="dcterms:W3CDTF">2026-09-28T08:58:41Z</dcterms:created>
  <dcterms:modified xsi:type="dcterms:W3CDTF">2026-09-28T08:58:41Z</dcterms:modified>
</cp:coreProperties>
</file>